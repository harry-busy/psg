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aster Stack" sheetId="2" state="visible" r:id="rId4"/>
    <sheet name="Aurra Hype" sheetId="3" state="visible" r:id="rId5"/>
    <sheet name="Designomics" sheetId="4" state="visible" r:id="rId6"/>
    <sheet name="Loop In (rebrand)" sheetId="5" state="visible" r:id="rId7"/>
    <sheet name="Arihant Digital" sheetId="6" state="visible" r:id="rId8"/>
    <sheet name="AI &amp; Creative Stack" sheetId="7" state="visible" r:id="rId9"/>
    <sheet name="Automation Catalogue" sheetId="8" state="visible" r:id="rId10"/>
    <sheet name="Founder OS" sheetId="9" state="visible" r:id="rId11"/>
    <sheet name="Benchmarks" sheetId="10" state="visible" r:id="rId12"/>
    <sheet name="90-Day Roadmap" sheetId="11" state="visible" r:id="rId13"/>
    <sheet name="Q-Commerce &amp; Marketplaces" sheetId="12" state="visible" r:id="rId14"/>
    <sheet name="Budget Summary" sheetId="13" state="visible" r:id="rId15"/>
  </sheets>
  <definedNames>
    <definedName function="false" hidden="true" localSheetId="1" name="_xlnm._FilterDatabase" vbProcedure="false">'Master Stack'!$A$4:$L$106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<sst xmlns="http://schemas.openxmlformats.org/spreadsheetml/2006/main" count="1794" uniqueCount="967">
  <si>
    <t xml:space="preserve">HARSHDEEP GROUP — MASTER OPERATING STACK (FULL / ADVANCED)</t>
  </si>
  <si>
    <t xml:space="preserve">4 brands · world-class + advanced global tooling · AI-native · Founder OS · Prepared Jul 2026</t>
  </si>
  <si>
    <t xml:space="preserve">THE 4 ASSETS</t>
  </si>
  <si>
    <t xml:space="preserve">Aurra Hype</t>
  </si>
  <si>
    <t xml:space="preserve">D2C streetwear / hype apparel (Bengaluru). Store + office launch 12 Jul. aurahyped.com.</t>
  </si>
  <si>
    <t xml:space="preserve">Designomics India</t>
  </si>
  <si>
    <t xml:space="preserve">Personalised gifting + merch + apparel (custom boxes, stickers, mugs, tees, workshops, corporate gifting). Also the group's in-house design/print/packaging arm.</t>
  </si>
  <si>
    <t xml:space="preserve">Loop In Events</t>
  </si>
  <si>
    <t xml:space="preserve">Event management &amp; experiential. NAME/DOMAIN CLASH with a Canadian firm (loopinevents.com) — rebrand + trademark first. Also the group's live-activation arm.</t>
  </si>
  <si>
    <t xml:space="preserve">Arihant Digital</t>
  </si>
  <si>
    <t xml:space="preserve">~10-yr digital agency = the in-house engine (web, performance, SEO/GEO, automation, analytics). Builds the 3 brands at cost, then sells the proven capability to outside clients.</t>
  </si>
  <si>
    <t xml:space="preserve">WHAT'S NEW IN THIS FULL VERSION</t>
  </si>
  <si>
    <t xml:space="preserve">Advanced global stack</t>
  </si>
  <si>
    <t xml:space="preserve">Best-in-class tools world-class brands actually use (Shopify, Klaviyo, Triple Whale, Motion, Attentive, Gorgias, GRIN, etc.) added across every function.</t>
  </si>
  <si>
    <t xml:space="preserve">AI &amp; creative engine</t>
  </si>
  <si>
    <t xml:space="preserve">Full 2026 AI stack: Higgsfield (UGC ad video), Veo 3.1 / Runway / Kling (video), Midjourney / Krea / Ideogram (image), ElevenLabs / HeyGen (voice+avatar), Claude + MCP, Gemini.</t>
  </si>
  <si>
    <t xml:space="preserve">Chat &amp; social automation</t>
  </si>
  <si>
    <t xml:space="preserve">IG comment-to-DM, WhatsApp API, Telegram, Facebook/Messenger via ManyChat + AiSensy + n8n agents.</t>
  </si>
  <si>
    <t xml:space="preserve">Founder OS</t>
  </si>
  <si>
    <t xml:space="preserve">A single command center to run all 4 brands: dashboards, daily/weekly/monthly cadence, founder-level automations &amp; AI copilots. See 'Founder OS' tab + separate playbook doc.</t>
  </si>
  <si>
    <t xml:space="preserve">Per-brand tabs</t>
  </si>
  <si>
    <t xml:space="preserve">Dedicated deep tab for each of the 4 brands with its own priority stack.</t>
  </si>
  <si>
    <t xml:space="preserve">World-class benchmarks</t>
  </si>
  <si>
    <t xml:space="preserve">'Benchmarks' tab: what leading global brands use, by function, so you copy proven playbooks.</t>
  </si>
  <si>
    <t xml:space="preserve">HOW TO READ</t>
  </si>
  <si>
    <t xml:space="preserve">Priority</t>
  </si>
  <si>
    <t xml:space="preserve">P0 = Month 1 (foundation) · P1 = Month 2 (engine) · P2 = Month 3 (scale) · P3 = later / advanced.</t>
  </si>
  <si>
    <t xml:space="preserve">In-house vs Buy</t>
  </si>
  <si>
    <t xml:space="preserve">In-house: Arihant (digital/marketing) · In-house: Designomics (design/print/merch) · Buy (SaaS/vendor) · Hybrid.</t>
  </si>
  <si>
    <t xml:space="preserve">Costs</t>
  </si>
  <si>
    <t xml:space="preserve">INR unless a tool is billed in USD (AI tools tab shows USD). Aggressive-spend scenario. Ad budgets are separate line items.</t>
  </si>
  <si>
    <t xml:space="preserve">MASTER STACK — every service · software · automation (advanced, all 4 brands)</t>
  </si>
  <si>
    <t xml:space="preserve">P0→P3 priority · in-house vs buy · vendor · cost · phase. Filterable.</t>
  </si>
  <si>
    <t xml:space="preserve">#</t>
  </si>
  <si>
    <t xml:space="preserve">Business</t>
  </si>
  <si>
    <t xml:space="preserve">Domain</t>
  </si>
  <si>
    <t xml:space="preserve">Item / Capability</t>
  </si>
  <si>
    <t xml:space="preserve">What it does &amp; why it matters</t>
  </si>
  <si>
    <t xml:space="preserve">Type</t>
  </si>
  <si>
    <t xml:space="preserve">Recommended Tool / Vendor</t>
  </si>
  <si>
    <t xml:space="preserve">Setup (₹)</t>
  </si>
  <si>
    <t xml:space="preserve">Monthly (₹)</t>
  </si>
  <si>
    <t xml:space="preserve">Phase</t>
  </si>
  <si>
    <t xml:space="preserve">Group</t>
  </si>
  <si>
    <t xml:space="preserve">Brand &amp; Identity</t>
  </si>
  <si>
    <t xml:space="preserve">Group holding-brand &amp; naming architecture</t>
  </si>
  <si>
    <t xml:space="preserve">How the 4 sub-brands relate; fixes inconsistent identity</t>
  </si>
  <si>
    <t xml:space="preserve">Service</t>
  </si>
  <si>
    <t xml:space="preserve">P0</t>
  </si>
  <si>
    <t xml:space="preserve">In-house: Designomics</t>
  </si>
  <si>
    <t xml:space="preserve">Designomics</t>
  </si>
  <si>
    <t xml:space="preserve">M1</t>
  </si>
  <si>
    <t xml:space="preserve">Loop In</t>
  </si>
  <si>
    <t xml:space="preserve">Rebrand (name+logo+identity)</t>
  </si>
  <si>
    <t xml:space="preserve">Resolve Canada clash; trademarkable name</t>
  </si>
  <si>
    <t xml:space="preserve">Designomics + IP attorney</t>
  </si>
  <si>
    <t xml:space="preserve">Identity refinement + trademark</t>
  </si>
  <si>
    <t xml:space="preserve">Stand out from crowded 'Aura/Aurra' space</t>
  </si>
  <si>
    <t xml:space="preserve">Trademark search + filing (key classes)</t>
  </si>
  <si>
    <t xml:space="preserve">Legal ownership; blocks copycats</t>
  </si>
  <si>
    <t xml:space="preserve">Buy</t>
  </si>
  <si>
    <t xml:space="preserve">IP attorney / IPIndia</t>
  </si>
  <si>
    <t xml:space="preserve">Brand voice + messaging system</t>
  </si>
  <si>
    <t xml:space="preserve">Consistent tone across all channels &amp; AI prompts</t>
  </si>
  <si>
    <t xml:space="preserve">P1</t>
  </si>
  <si>
    <t xml:space="preserve">In-house: Arihant</t>
  </si>
  <si>
    <t xml:space="preserve">Brand book + GPT/Claude style guide</t>
  </si>
  <si>
    <t xml:space="preserve">M2</t>
  </si>
  <si>
    <t xml:space="preserve">Website &amp; E-commerce</t>
  </si>
  <si>
    <t xml:space="preserve">Shopify store (headless-ready)</t>
  </si>
  <si>
    <t xml:space="preserve">Fast conversion storefront + app ecosystem</t>
  </si>
  <si>
    <t xml:space="preserve">SaaS</t>
  </si>
  <si>
    <t xml:space="preserve">Shopify → Plus later</t>
  </si>
  <si>
    <t xml:space="preserve">Replatform off Wix + custom-box builder</t>
  </si>
  <si>
    <t xml:space="preserve">Configurator UX, apps, speed</t>
  </si>
  <si>
    <t xml:space="preserve">Shopify + Kickflip/Zakeke</t>
  </si>
  <si>
    <t xml:space="preserve">Lead-gen site + portfolio + booking</t>
  </si>
  <si>
    <t xml:space="preserve">Enquiries, case studies, packages</t>
  </si>
  <si>
    <t xml:space="preserve">Webflow / WordPress</t>
  </si>
  <si>
    <t xml:space="preserve">Landing-page / funnel builder</t>
  </si>
  <si>
    <t xml:space="preserve">Fast campaign &amp; drop landing pages</t>
  </si>
  <si>
    <t xml:space="preserve">Replo / Unbounce</t>
  </si>
  <si>
    <t xml:space="preserve">On-site personalization + upsell</t>
  </si>
  <si>
    <t xml:space="preserve">Higher AOV via smart recommendations</t>
  </si>
  <si>
    <t xml:space="preserve">P2</t>
  </si>
  <si>
    <t xml:space="preserve">Rebuy / Nosto</t>
  </si>
  <si>
    <t xml:space="preserve">M3</t>
  </si>
  <si>
    <t xml:space="preserve">A/B testing &amp; CRO</t>
  </si>
  <si>
    <t xml:space="preserve">Systematic conversion lift on paid traffic</t>
  </si>
  <si>
    <t xml:space="preserve">VWO / Intelligems</t>
  </si>
  <si>
    <t xml:space="preserve">Domains, SSL, email, DNS, CDN</t>
  </si>
  <si>
    <t xml:space="preserve">Professional infra across brands</t>
  </si>
  <si>
    <t xml:space="preserve">Infra</t>
  </si>
  <si>
    <t xml:space="preserve">Google Workspace + Cloudflare</t>
  </si>
  <si>
    <t xml:space="preserve">Content &amp; Creative</t>
  </si>
  <si>
    <t xml:space="preserve">Product + lifestyle photography</t>
  </si>
  <si>
    <t xml:space="preserve">Sales-grade catalog &amp; ad creative</t>
  </si>
  <si>
    <t xml:space="preserve">Hybrid</t>
  </si>
  <si>
    <t xml:space="preserve">In-house + freelance</t>
  </si>
  <si>
    <t xml:space="preserve">Short-form video / reels engine</t>
  </si>
  <si>
    <t xml:space="preserve">3-5 reels/wk per brand; organic + ads</t>
  </si>
  <si>
    <t xml:space="preserve">Content pod + CapCut Pro</t>
  </si>
  <si>
    <t xml:space="preserve">Design subscription</t>
  </si>
  <si>
    <t xml:space="preserve">Unlimited on-brand creatives at speed</t>
  </si>
  <si>
    <t xml:space="preserve">In-house</t>
  </si>
  <si>
    <t xml:space="preserve">Designomics + Adobe CC / Canva Teams</t>
  </si>
  <si>
    <t xml:space="preserve">Long-form video repurposing</t>
  </si>
  <si>
    <t xml:space="preserve">Turn one shoot into 20 clips (Opus/Descript)</t>
  </si>
  <si>
    <t xml:space="preserve">Opus Clip / Descript</t>
  </si>
  <si>
    <t xml:space="preserve">Drop lookbooks + campaign shoots</t>
  </si>
  <si>
    <t xml:space="preserve">Hype cycle around each drop</t>
  </si>
  <si>
    <t xml:space="preserve">Designomics + models</t>
  </si>
  <si>
    <t xml:space="preserve">AI &amp; Creative</t>
  </si>
  <si>
    <t xml:space="preserve">AI UGC ad-video studio</t>
  </si>
  <si>
    <t xml:space="preserve">Product URL → ready UGC ad (Hermes Agent)</t>
  </si>
  <si>
    <t xml:space="preserve">Higgsfield</t>
  </si>
  <si>
    <t xml:space="preserve">AI cinematic video (hero/brand films)</t>
  </si>
  <si>
    <t xml:space="preserve">Veo/Runway/Kling for premium spots &amp; drops</t>
  </si>
  <si>
    <t xml:space="preserve">Google Flow (Veo 3.1) / Runway / Kling</t>
  </si>
  <si>
    <t xml:space="preserve">AI image / product visuals</t>
  </si>
  <si>
    <t xml:space="preserve">On-model + concept imagery without shoots</t>
  </si>
  <si>
    <t xml:space="preserve">Midjourney + Krea + Ideogram + Photoroom</t>
  </si>
  <si>
    <t xml:space="preserve">AI voice + avatar / spokesperson</t>
  </si>
  <si>
    <t xml:space="preserve">Voiceovers + talking-avatar promos in many languages</t>
  </si>
  <si>
    <t xml:space="preserve">ElevenLabs + HeyGen</t>
  </si>
  <si>
    <t xml:space="preserve">AI copy + creative brains</t>
  </si>
  <si>
    <t xml:space="preserve">Copy, scripts, descriptions, briefs</t>
  </si>
  <si>
    <t xml:space="preserve">ChatGPT Team + Claude</t>
  </si>
  <si>
    <t xml:space="preserve">Performance Marketing</t>
  </si>
  <si>
    <t xml:space="preserve">Meta Ads — always-on</t>
  </si>
  <si>
    <t xml:space="preserve">Primary D2C revenue driver</t>
  </si>
  <si>
    <t xml:space="preserve">Service+Spend</t>
  </si>
  <si>
    <t xml:space="preserve">Meta Ads Manager</t>
  </si>
  <si>
    <t xml:space="preserve">Google Ads (Search+Shopping+PMax)</t>
  </si>
  <si>
    <t xml:space="preserve">High-intent + Shopping feed</t>
  </si>
  <si>
    <t xml:space="preserve">Google Ads + Merchant Center</t>
  </si>
  <si>
    <t xml:space="preserve">Meta + Google (gifting + corporate)</t>
  </si>
  <si>
    <t xml:space="preserve">Seasonal + corporate intent</t>
  </si>
  <si>
    <t xml:space="preserve">Meta + Google</t>
  </si>
  <si>
    <t xml:space="preserve">Local + LinkedIn lead-gen</t>
  </si>
  <si>
    <t xml:space="preserve">B2B events + weddings/corporate</t>
  </si>
  <si>
    <t xml:space="preserve">Google Local + LinkedIn Ads</t>
  </si>
  <si>
    <t xml:space="preserve">Creative analytics (winner-finding)</t>
  </si>
  <si>
    <t xml:space="preserve">Element-level insight; lower CAC</t>
  </si>
  <si>
    <t xml:space="preserve">Motion / Superads</t>
  </si>
  <si>
    <t xml:space="preserve">Profit analytics + attribution</t>
  </si>
  <si>
    <t xml:space="preserve">True profit after ads/COGS/RTO per creative</t>
  </si>
  <si>
    <t xml:space="preserve">Triple Whale / Lifetimely</t>
  </si>
  <si>
    <t xml:space="preserve">TikTok / YT Shorts / Pinterest ads</t>
  </si>
  <si>
    <t xml:space="preserve">Diversify channels beyond Meta</t>
  </si>
  <si>
    <t xml:space="preserve">TikTok/YouTube/Pinterest Ads</t>
  </si>
  <si>
    <t xml:space="preserve">CRM &amp; Retention</t>
  </si>
  <si>
    <t xml:space="preserve">Email + SMS lifecycle flows</t>
  </si>
  <si>
    <t xml:space="preserve">Cart, win-back, post-purchase = repeat revenue</t>
  </si>
  <si>
    <t xml:space="preserve">Klaviyo</t>
  </si>
  <si>
    <t xml:space="preserve">WhatsApp Business API + broadcast</t>
  </si>
  <si>
    <t xml:space="preserve">#1 India channel: updates, drops, offers</t>
  </si>
  <si>
    <t xml:space="preserve">AiSensy / WATI / Interakt</t>
  </si>
  <si>
    <t xml:space="preserve">Loyalty + referral program</t>
  </si>
  <si>
    <t xml:space="preserve">Repeat purchase + WOM CAC cut</t>
  </si>
  <si>
    <t xml:space="preserve">Zithara / Loox referrals</t>
  </si>
  <si>
    <t xml:space="preserve">Advanced SMS marketing</t>
  </si>
  <si>
    <t xml:space="preserve">Conversational SMS at scale (global best-practice)</t>
  </si>
  <si>
    <t xml:space="preserve">Attentive / Postscript-style</t>
  </si>
  <si>
    <t xml:space="preserve">Sales CRM (B2B pipeline)</t>
  </si>
  <si>
    <t xml:space="preserve">Events + corporate gifting leads → deals</t>
  </si>
  <si>
    <t xml:space="preserve">HubSpot / Zoho CRM</t>
  </si>
  <si>
    <t xml:space="preserve">LTV / cohort / churn analytics</t>
  </si>
  <si>
    <t xml:space="preserve">Predict LTV, know when customers churn</t>
  </si>
  <si>
    <t xml:space="preserve">Peel Insights / Lifetimely</t>
  </si>
  <si>
    <t xml:space="preserve">Chat &amp; Social Automation</t>
  </si>
  <si>
    <t xml:space="preserve">IG comment-to-DM + DM flows</t>
  </si>
  <si>
    <t xml:space="preserve">Auto-convert comments/DMs to sales</t>
  </si>
  <si>
    <t xml:space="preserve">ManyChat</t>
  </si>
  <si>
    <t xml:space="preserve">WhatsApp chat automation + bot</t>
  </si>
  <si>
    <t xml:space="preserve">Orders, FAQs, catalog, checkout on WhatsApp</t>
  </si>
  <si>
    <t xml:space="preserve">AiSensy + n8n</t>
  </si>
  <si>
    <t xml:space="preserve">Telegram bot / broadcast</t>
  </si>
  <si>
    <t xml:space="preserve">Community + drops + VIP list</t>
  </si>
  <si>
    <t xml:space="preserve">Automation</t>
  </si>
  <si>
    <t xml:space="preserve">Telegram Bot API + n8n</t>
  </si>
  <si>
    <t xml:space="preserve">Facebook/Messenger automation</t>
  </si>
  <si>
    <t xml:space="preserve">Lead capture + retargeting handoff</t>
  </si>
  <si>
    <t xml:space="preserve">AI support chatbot (site+chat)</t>
  </si>
  <si>
    <t xml:space="preserve">24x7 sizing/returns/order status</t>
  </si>
  <si>
    <t xml:space="preserve">Gorgias AI / Chatbase</t>
  </si>
  <si>
    <t xml:space="preserve">AI &amp; Automation</t>
  </si>
  <si>
    <t xml:space="preserve">Automation backbone + AI agents</t>
  </si>
  <si>
    <t xml:space="preserve">Connect store, ads, CRM, WhatsApp, sheets</t>
  </si>
  <si>
    <t xml:space="preserve">n8n (self-host) + Make</t>
  </si>
  <si>
    <t xml:space="preserve">Claude + MCP command layer</t>
  </si>
  <si>
    <t xml:space="preserve">Query dashboards/DBs, run agents via MCP connectors</t>
  </si>
  <si>
    <t xml:space="preserve">Claude + MCP servers</t>
  </si>
  <si>
    <t xml:space="preserve">Gemini / multimodal assist</t>
  </si>
  <si>
    <t xml:space="preserve">Docs, research, image+video understanding</t>
  </si>
  <si>
    <t xml:space="preserve">Google Gemini</t>
  </si>
  <si>
    <t xml:space="preserve">No-code AI agent builder</t>
  </si>
  <si>
    <t xml:space="preserve">Ops agents (research, outreach, ops) fast</t>
  </si>
  <si>
    <t xml:space="preserve">Gumloop / Lindy / Relay</t>
  </si>
  <si>
    <t xml:space="preserve">Ops dashboards + daily digest</t>
  </si>
  <si>
    <t xml:space="preserve">Auto WhatsApp digest: sales/ads/stock</t>
  </si>
  <si>
    <t xml:space="preserve">n8n + Sheets + GPT</t>
  </si>
  <si>
    <t xml:space="preserve">Sourcing &amp; Manufacturing</t>
  </si>
  <si>
    <t xml:space="preserve">Apparel manufacturing partners</t>
  </si>
  <si>
    <t xml:space="preserve">Reliable blanks + cut-and-sew</t>
  </si>
  <si>
    <t xml:space="preserve">Tiruppur / Ludhiana / Bengaluru</t>
  </si>
  <si>
    <t xml:space="preserve">DTG / DTF print partner</t>
  </si>
  <si>
    <t xml:space="preserve">Small-batch drops, no big MOQ</t>
  </si>
  <si>
    <t xml:space="preserve">Designomics + Qikink</t>
  </si>
  <si>
    <t xml:space="preserve">Merch &amp; gifting supplier network</t>
  </si>
  <si>
    <t xml:space="preserve">Mugs, bottles, candles, kits at scale</t>
  </si>
  <si>
    <t xml:space="preserve">IndiaMART verified / agents</t>
  </si>
  <si>
    <t xml:space="preserve">Print-on-demand fallback</t>
  </si>
  <si>
    <t xml:space="preserve">Zero-inventory long-tail SKUs</t>
  </si>
  <si>
    <t xml:space="preserve">Qikink / Printrove</t>
  </si>
  <si>
    <t xml:space="preserve">QC + tech-pack system</t>
  </si>
  <si>
    <t xml:space="preserve">Consistent sizing/quality; fewer returns</t>
  </si>
  <si>
    <t xml:space="preserve">Tech packs + QC checklist</t>
  </si>
  <si>
    <t xml:space="preserve">Global sourcing / import option</t>
  </si>
  <si>
    <t xml:space="preserve">Trims, accessories, specialty items</t>
  </si>
  <si>
    <t xml:space="preserve">P3</t>
  </si>
  <si>
    <t xml:space="preserve">Alibaba / verified importers</t>
  </si>
  <si>
    <t xml:space="preserve">Packaging &amp; Unboxing</t>
  </si>
  <si>
    <t xml:space="preserve">Custom branded packaging</t>
  </si>
  <si>
    <t xml:space="preserve">Unboxing = free marketing + value</t>
  </si>
  <si>
    <t xml:space="preserve">Designomics + Bizongo / Packman</t>
  </si>
  <si>
    <t xml:space="preserve">Custom gift-box engine</t>
  </si>
  <si>
    <t xml:space="preserve">Core product: build-your-own box UX</t>
  </si>
  <si>
    <t xml:space="preserve">Designomics + configurator</t>
  </si>
  <si>
    <t xml:space="preserve">Inserts, cards, stickers, QR</t>
  </si>
  <si>
    <t xml:space="preserve">Reviews, referrals, repeat-order QR</t>
  </si>
  <si>
    <t xml:space="preserve">Designomics print</t>
  </si>
  <si>
    <t xml:space="preserve">Sustainable / premium packaging line</t>
  </si>
  <si>
    <t xml:space="preserve">Higher perceived value + ESG story</t>
  </si>
  <si>
    <t xml:space="preserve">Recyclable/kraft + custom</t>
  </si>
  <si>
    <t xml:space="preserve">Inventory &amp; Warehouse</t>
  </si>
  <si>
    <t xml:space="preserve">Inventory management system</t>
  </si>
  <si>
    <t xml:space="preserve">Single stock source across channels</t>
  </si>
  <si>
    <t xml:space="preserve">Zoho Inventory / Unicommerce</t>
  </si>
  <si>
    <t xml:space="preserve">Barcode / SKU + labels</t>
  </si>
  <si>
    <t xml:space="preserve">Scan picking; stops overselling</t>
  </si>
  <si>
    <t xml:space="preserve">Zoho + scanner</t>
  </si>
  <si>
    <t xml:space="preserve">Warehouse / stockroom + WMS-lite</t>
  </si>
  <si>
    <t xml:space="preserve">Organised bins for store+online</t>
  </si>
  <si>
    <t xml:space="preserve">Racking + Zoho</t>
  </si>
  <si>
    <t xml:space="preserve">Multi-channel stock sync</t>
  </si>
  <si>
    <t xml:space="preserve">Auto-sync to Amazon/Flipkart/Q-comm</t>
  </si>
  <si>
    <t xml:space="preserve">Unicommerce / Vinculum</t>
  </si>
  <si>
    <t xml:space="preserve">Demand forecasting</t>
  </si>
  <si>
    <t xml:space="preserve">Predict winners; avoid dead stock</t>
  </si>
  <si>
    <t xml:space="preserve">Inventory data + GPT model</t>
  </si>
  <si>
    <t xml:space="preserve">Order &amp; Logistics</t>
  </si>
  <si>
    <t xml:space="preserve">Shipping aggregator</t>
  </si>
  <si>
    <t xml:space="preserve">Cheapest courier per pincode + NDR</t>
  </si>
  <si>
    <t xml:space="preserve">Shiprocket / iThink</t>
  </si>
  <si>
    <t xml:space="preserve">COD + RTO control</t>
  </si>
  <si>
    <t xml:space="preserve">Cut RTO losses (apparel killer)</t>
  </si>
  <si>
    <t xml:space="preserve">GoKwik / Shiprocket</t>
  </si>
  <si>
    <t xml:space="preserve">Order management system (OMS)</t>
  </si>
  <si>
    <t xml:space="preserve">Unified multi-channel order queue</t>
  </si>
  <si>
    <t xml:space="preserve">Unicommerce</t>
  </si>
  <si>
    <t xml:space="preserve">1-click / UPI fast checkout</t>
  </si>
  <si>
    <t xml:space="preserve">Cut checkout drop-off</t>
  </si>
  <si>
    <t xml:space="preserve">GoKwik / Shopflo / Razorpay Magic</t>
  </si>
  <si>
    <t xml:space="preserve">Returns / exchange automation</t>
  </si>
  <si>
    <t xml:space="preserve">Streamlined apparel returns; protect margin</t>
  </si>
  <si>
    <t xml:space="preserve">Return Prime / Loop-style</t>
  </si>
  <si>
    <t xml:space="preserve">Hyperlocal same-day (Bengaluru)</t>
  </si>
  <si>
    <t xml:space="preserve">Same-day for local + store</t>
  </si>
  <si>
    <t xml:space="preserve">Porter / Dunzo / Shiprocket Quick</t>
  </si>
  <si>
    <t xml:space="preserve">Q-Commerce &amp; Marketplaces</t>
  </si>
  <si>
    <t xml:space="preserve">Amazon + Flipkart listings</t>
  </si>
  <si>
    <t xml:space="preserve">Discovery + trust; A+ content</t>
  </si>
  <si>
    <t xml:space="preserve">Seller Central + Flipkart</t>
  </si>
  <si>
    <t xml:space="preserve">Myntra / Ajio (fashion)</t>
  </si>
  <si>
    <t xml:space="preserve">Category-native fashion buyers</t>
  </si>
  <si>
    <t xml:space="preserve">Myntra / Ajio onboarding</t>
  </si>
  <si>
    <t xml:space="preserve">Meesho (value gifting volume)</t>
  </si>
  <si>
    <t xml:space="preserve">0% commission, high-volume SKUs</t>
  </si>
  <si>
    <t xml:space="preserve">Meesho</t>
  </si>
  <si>
    <t xml:space="preserve">Q-commerce pilot (gifting SKUs)</t>
  </si>
  <si>
    <t xml:space="preserve">Impulse gifting via Blinkit/Zepto/Instamart</t>
  </si>
  <si>
    <t xml:space="preserve">Service+Fee</t>
  </si>
  <si>
    <t xml:space="preserve">Blinkit/Zepto/Instamart</t>
  </si>
  <si>
    <t xml:space="preserve">Marketplace ads</t>
  </si>
  <si>
    <t xml:space="preserve">Sponsored products; win visibility</t>
  </si>
  <si>
    <t xml:space="preserve">Amazon/Flipkart Ads</t>
  </si>
  <si>
    <t xml:space="preserve">Global handmade marketplace</t>
  </si>
  <si>
    <t xml:space="preserve">Etsy for stickers/gifting (export optional)</t>
  </si>
  <si>
    <t xml:space="preserve">Etsy</t>
  </si>
  <si>
    <t xml:space="preserve">Influencer &amp; PR</t>
  </si>
  <si>
    <t xml:space="preserve">Influencer seeding (micro+mid)</t>
  </si>
  <si>
    <t xml:space="preserve">Hype &amp; reach for streetwear</t>
  </si>
  <si>
    <t xml:space="preserve">Local + GRIN / Aspire</t>
  </si>
  <si>
    <t xml:space="preserve">Influencer/creator CRM platform</t>
  </si>
  <si>
    <t xml:space="preserve">Manage seeding, affiliates, payouts at scale</t>
  </si>
  <si>
    <t xml:space="preserve">GRIN / Aspire / Upfluence</t>
  </si>
  <si>
    <t xml:space="preserve">Affiliate program</t>
  </si>
  <si>
    <t xml:space="preserve">Performance-based reach</t>
  </si>
  <si>
    <t xml:space="preserve">Refersion / GoAffPro</t>
  </si>
  <si>
    <t xml:space="preserve">PR + media outreach</t>
  </si>
  <si>
    <t xml:space="preserve">Press features = trust + SEO</t>
  </si>
  <si>
    <t xml:space="preserve">HARO/Connectively + local PR</t>
  </si>
  <si>
    <t xml:space="preserve">Retail / Offline</t>
  </si>
  <si>
    <t xml:space="preserve">Retail POS + store ops</t>
  </si>
  <si>
    <t xml:space="preserve">Unify store + online stock &amp; billing</t>
  </si>
  <si>
    <t xml:space="preserve">Shopify POS / GoFrugal</t>
  </si>
  <si>
    <t xml:space="preserve">Store launch (12 Jul) amplification</t>
  </si>
  <si>
    <t xml:space="preserve">Turn launch into content + PR + footfall</t>
  </si>
  <si>
    <t xml:space="preserve">Arihant + Loop In</t>
  </si>
  <si>
    <t xml:space="preserve">Pop-ups / exhibitions / activations</t>
  </si>
  <si>
    <t xml:space="preserve">Direct sales + UGC + email capture</t>
  </si>
  <si>
    <t xml:space="preserve">Loop In + Designomics</t>
  </si>
  <si>
    <t xml:space="preserve">Offline ads (OOH / print / local)</t>
  </si>
  <si>
    <t xml:space="preserve">Local awareness around store &amp; events</t>
  </si>
  <si>
    <t xml:space="preserve">Local OOH / print</t>
  </si>
  <si>
    <t xml:space="preserve">Finance &amp; Compliance</t>
  </si>
  <si>
    <t xml:space="preserve">Accounting + GST software</t>
  </si>
  <si>
    <t xml:space="preserve">Clean books, GST across entities</t>
  </si>
  <si>
    <t xml:space="preserve">Zoho Books / TallyPrime</t>
  </si>
  <si>
    <t xml:space="preserve">Payment gateway + reconciliation</t>
  </si>
  <si>
    <t xml:space="preserve">UPI/cards/COD; auto-reconcile</t>
  </si>
  <si>
    <t xml:space="preserve">Razorpay / Cashfree</t>
  </si>
  <si>
    <t xml:space="preserve">CA + bookkeeping + GST filing</t>
  </si>
  <si>
    <t xml:space="preserve">Compliance; investor-ready books</t>
  </si>
  <si>
    <t xml:space="preserve">CA firm (retainer)</t>
  </si>
  <si>
    <t xml:space="preserve">Entity + structure setup</t>
  </si>
  <si>
    <t xml:space="preserve">LLP/Pvt Ltd, GST, IEC for exports</t>
  </si>
  <si>
    <t xml:space="preserve">CA + CS</t>
  </si>
  <si>
    <t xml:space="preserve">Spend / corporate cards + expense</t>
  </si>
  <si>
    <t xml:space="preserve">Control burn across 4 brands</t>
  </si>
  <si>
    <t xml:space="preserve">Volopay / Jify / RazorpayX</t>
  </si>
  <si>
    <t xml:space="preserve">Unit-economics + P&amp;L dashboard</t>
  </si>
  <si>
    <t xml:space="preserve">CAC, contribution margin, RTO per brand</t>
  </si>
  <si>
    <t xml:space="preserve">Sheets/Looker + Arihant</t>
  </si>
  <si>
    <t xml:space="preserve">Revenue-based financing (inventory)</t>
  </si>
  <si>
    <t xml:space="preserve">Fund inventory/ads without dilution</t>
  </si>
  <si>
    <t xml:space="preserve">Wayflyer / Velocity-style</t>
  </si>
  <si>
    <t xml:space="preserve">Legal &amp; IP</t>
  </si>
  <si>
    <t xml:space="preserve">Trademark portfolio management</t>
  </si>
  <si>
    <t xml:space="preserve">Own names/logos; renewals</t>
  </si>
  <si>
    <t xml:space="preserve">IP attorney retainer</t>
  </si>
  <si>
    <t xml:space="preserve">Contracts + policies + agreements</t>
  </si>
  <si>
    <t xml:space="preserve">Supplier, influencer, employment, T&amp;Cs</t>
  </si>
  <si>
    <t xml:space="preserve">Legal retainer / Vakilsearch</t>
  </si>
  <si>
    <t xml:space="preserve">Data privacy / DPDP compliance</t>
  </si>
  <si>
    <t xml:space="preserve">India DPDP Act + global if exporting</t>
  </si>
  <si>
    <t xml:space="preserve">Legal + consent tooling</t>
  </si>
  <si>
    <t xml:space="preserve">HR &amp; Team Ops</t>
  </si>
  <si>
    <t xml:space="preserve">Core hiring (mktg, ops, design)</t>
  </si>
  <si>
    <t xml:space="preserve">People to run the machine</t>
  </si>
  <si>
    <t xml:space="preserve">Naukri/LinkedIn + referrals</t>
  </si>
  <si>
    <t xml:space="preserve">Payroll + attendance + compliance</t>
  </si>
  <si>
    <t xml:space="preserve">Compliant salaries across brands</t>
  </si>
  <si>
    <t xml:space="preserve">RazorpayX Payroll / Keka</t>
  </si>
  <si>
    <t xml:space="preserve">SOPs + training library</t>
  </si>
  <si>
    <t xml:space="preserve">Repeatable ops; fast onboarding</t>
  </si>
  <si>
    <t xml:space="preserve">Notion + Loom</t>
  </si>
  <si>
    <t xml:space="preserve">Contractor / freelancer management</t>
  </si>
  <si>
    <t xml:space="preserve">Designers, editors, creators payouts</t>
  </si>
  <si>
    <t xml:space="preserve">Notion + Razorpay payouts</t>
  </si>
  <si>
    <t xml:space="preserve">Project &amp; Internal Ops</t>
  </si>
  <si>
    <t xml:space="preserve">Project / task management</t>
  </si>
  <si>
    <t xml:space="preserve">One system across 4 brands</t>
  </si>
  <si>
    <t xml:space="preserve">Notion / ClickUp</t>
  </si>
  <si>
    <t xml:space="preserve">AI calendar + focus/time</t>
  </si>
  <si>
    <t xml:space="preserve">Founder &amp; team time management</t>
  </si>
  <si>
    <t xml:space="preserve">Motion (usemotion) / Reclaim</t>
  </si>
  <si>
    <t xml:space="preserve">Meeting notes AI</t>
  </si>
  <si>
    <t xml:space="preserve">Auto notes + action items from calls</t>
  </si>
  <si>
    <t xml:space="preserve">Fathom / Fireflies</t>
  </si>
  <si>
    <t xml:space="preserve">Central docs + asset library (DAM)</t>
  </si>
  <si>
    <t xml:space="preserve">Brand assets, contracts, SOPs in one place</t>
  </si>
  <si>
    <t xml:space="preserve">Google Drive / Notion</t>
  </si>
  <si>
    <t xml:space="preserve">Event project + vendor mgmt</t>
  </si>
  <si>
    <t xml:space="preserve">Timelines, vendors, checklists per event</t>
  </si>
  <si>
    <t xml:space="preserve">Monday.com + Aisle Planner</t>
  </si>
  <si>
    <t xml:space="preserve">Analytics &amp; BI</t>
  </si>
  <si>
    <t xml:space="preserve">Web + funnel analytics</t>
  </si>
  <si>
    <t xml:space="preserve">GA4 + server-side + attribution</t>
  </si>
  <si>
    <t xml:space="preserve">GA4 + Meta CAPI + Stape</t>
  </si>
  <si>
    <t xml:space="preserve">Group KPI dashboard</t>
  </si>
  <si>
    <t xml:space="preserve">One board: rev, CAC, AOV, ROAS per brand</t>
  </si>
  <si>
    <t xml:space="preserve">Looker Studio + Arihant</t>
  </si>
  <si>
    <t xml:space="preserve">Session replay + heatmaps</t>
  </si>
  <si>
    <t xml:space="preserve">See where users drop; fix UX</t>
  </si>
  <si>
    <t xml:space="preserve">Microsoft Clarity (free) / Hotjar</t>
  </si>
  <si>
    <t xml:space="preserve">TOTALS →</t>
  </si>
  <si>
    <t xml:space="preserve">Aurra Hype — Brand Playbook</t>
  </si>
  <si>
    <t xml:space="preserve">D2C streetwear / hype apparel · Bengaluru · store+office launch 12 Jul</t>
  </si>
  <si>
    <t xml:space="preserve">POSITIONING:  The drop-driven Indian streetwear label. Win = desirable product + hype/scarcity rhythm + disciplined performance marketing with healthy unit economics. Copy the global streetwear playbook (limited drops, community, resale hype).</t>
  </si>
  <si>
    <t xml:space="preserve">Workstream</t>
  </si>
  <si>
    <t xml:space="preserve">Key action / what to build</t>
  </si>
  <si>
    <t xml:space="preserve">Tool / Owner</t>
  </si>
  <si>
    <t xml:space="preserve">Proof / outcome</t>
  </si>
  <si>
    <t xml:space="preserve">Brand &amp; Trademark</t>
  </si>
  <si>
    <t xml:space="preserve">Refine identity vs crowded 'Aura' space; file trademark</t>
  </si>
  <si>
    <t xml:space="preserve">Distinct, owned brand</t>
  </si>
  <si>
    <t xml:space="preserve">Store</t>
  </si>
  <si>
    <t xml:space="preserve">Shopify build, reviews, upsell, 1-tap UPI/COD checkout</t>
  </si>
  <si>
    <t xml:space="preserve">Arihant + GoKwik</t>
  </si>
  <si>
    <t xml:space="preserve">CVR &gt; 2%, fast store</t>
  </si>
  <si>
    <t xml:space="preserve">Retail</t>
  </si>
  <si>
    <t xml:space="preserve">POS unifying store+online stock; amplify 12 Jul launch as content/PR</t>
  </si>
  <si>
    <t xml:space="preserve">500+ footfall, viral launch</t>
  </si>
  <si>
    <t xml:space="preserve">Creative</t>
  </si>
  <si>
    <t xml:space="preserve">Catalog + lifestyle shoot; reels engine 3-5/wk</t>
  </si>
  <si>
    <t xml:space="preserve">Content pod</t>
  </si>
  <si>
    <t xml:space="preserve">90+ assets in M1</t>
  </si>
  <si>
    <t xml:space="preserve">Paid</t>
  </si>
  <si>
    <t xml:space="preserve">Meta always-on; pixel+CAPI; creative testing</t>
  </si>
  <si>
    <t xml:space="preserve">Arihant + Motion</t>
  </si>
  <si>
    <t xml:space="preserve">ROAS baseline set</t>
  </si>
  <si>
    <t xml:space="preserve">Paid scale</t>
  </si>
  <si>
    <t xml:space="preserve">Add Google Shopping/PMax; scale winners; profit analytics</t>
  </si>
  <si>
    <t xml:space="preserve">Arihant + Triple Whale</t>
  </si>
  <si>
    <t xml:space="preserve">ROAS &gt;= 2.5</t>
  </si>
  <si>
    <t xml:space="preserve">AI creative</t>
  </si>
  <si>
    <t xml:space="preserve">Higgsfield UGC ads + Runway/Veo hero drop films</t>
  </si>
  <si>
    <t xml:space="preserve">Arihant</t>
  </si>
  <si>
    <t xml:space="preserve">Cheaper, faster ad volume</t>
  </si>
  <si>
    <t xml:space="preserve">Retention</t>
  </si>
  <si>
    <t xml:space="preserve">Klaviyo email/SMS + WhatsApp flows; loyalty</t>
  </si>
  <si>
    <t xml:space="preserve">Arihant + AiSensy</t>
  </si>
  <si>
    <t xml:space="preserve">Repeat-rate rising</t>
  </si>
  <si>
    <t xml:space="preserve">Drops</t>
  </si>
  <si>
    <t xml:space="preserve">Drop calendar w/ scarcity, waitlists, early-access</t>
  </si>
  <si>
    <t xml:space="preserve">Sell-through per drop</t>
  </si>
  <si>
    <t xml:space="preserve">Influencer</t>
  </si>
  <si>
    <t xml:space="preserve">Micro+mid seeding; UGC pipeline</t>
  </si>
  <si>
    <t xml:space="preserve">GRIN/Aspire + local</t>
  </si>
  <si>
    <t xml:space="preserve">Reach + UGC library</t>
  </si>
  <si>
    <t xml:space="preserve">Marketplace</t>
  </si>
  <si>
    <t xml:space="preserve">Amazon + Flipkart w/ A+ content</t>
  </si>
  <si>
    <t xml:space="preserve">Live on 2 marketplaces</t>
  </si>
  <si>
    <t xml:space="preserve">Myntra/Ajio fashion onboarding</t>
  </si>
  <si>
    <t xml:space="preserve">Category-native sales</t>
  </si>
  <si>
    <t xml:space="preserve">Logistics</t>
  </si>
  <si>
    <t xml:space="preserve">RTO/COD control; same-day Bengaluru</t>
  </si>
  <si>
    <t xml:space="preserve">GoKwik + Porter</t>
  </si>
  <si>
    <t xml:space="preserve">RTO trending down</t>
  </si>
  <si>
    <t xml:space="preserve">Community</t>
  </si>
  <si>
    <t xml:space="preserve">Drop community (WhatsApp/Telegram VIP + Discord)</t>
  </si>
  <si>
    <t xml:space="preserve">Owned hype channel</t>
  </si>
  <si>
    <t xml:space="preserve">Designomics — Brand Playbook</t>
  </si>
  <si>
    <t xml:space="preserve">Personalised gifting + merch + apparel · corporate gifting · in-house design/print arm</t>
  </si>
  <si>
    <t xml:space="preserve">POSITIONING:  Two demand engines: impulse/occasion D2C gifting AND contract corporate gifting. Highest natural margin of the group; premium comes from a great customization UX. Also produces the group's design, print and packaging.</t>
  </si>
  <si>
    <t xml:space="preserve">Replatform</t>
  </si>
  <si>
    <t xml:space="preserve">Move off Wix; custom gift-box configurator; apps + speed</t>
  </si>
  <si>
    <t xml:space="preserve">Arihant + Kickflip</t>
  </si>
  <si>
    <t xml:space="preserve">Higher AOV, better UX</t>
  </si>
  <si>
    <t xml:space="preserve">Supply</t>
  </si>
  <si>
    <t xml:space="preserve">Merch/gifting supplier network + POD fallback</t>
  </si>
  <si>
    <t xml:space="preserve">Buy + Qikink</t>
  </si>
  <si>
    <t xml:space="preserve">Reliable catalog</t>
  </si>
  <si>
    <t xml:space="preserve">Packaging</t>
  </si>
  <si>
    <t xml:space="preserve">Own the group's packaging + unboxing system</t>
  </si>
  <si>
    <t xml:space="preserve">Branded unboxing on every order</t>
  </si>
  <si>
    <t xml:space="preserve">Corporate B2B</t>
  </si>
  <si>
    <t xml:space="preserve">Outbound to companies; catalog; quote-to-order; GST bulk</t>
  </si>
  <si>
    <t xml:space="preserve">Founder + HubSpot</t>
  </si>
  <si>
    <t xml:space="preserve">5+ corporate deals in pipeline</t>
  </si>
  <si>
    <t xml:space="preserve">Meta + Google on gifting &amp; corporate intent; festive push</t>
  </si>
  <si>
    <t xml:space="preserve">Profitable seasonal spend</t>
  </si>
  <si>
    <t xml:space="preserve">AI product visuals (Midjourney/Krea) for endless SKUs</t>
  </si>
  <si>
    <t xml:space="preserve">Catalog-ready visuals cheaply</t>
  </si>
  <si>
    <t xml:space="preserve">Occasion automation (birthday/festival/anniversary)</t>
  </si>
  <si>
    <t xml:space="preserve">Klaviyo + AiSensy</t>
  </si>
  <si>
    <t xml:space="preserve">Recurring gifting revenue</t>
  </si>
  <si>
    <t xml:space="preserve">Meesho (volume) + Amazon gifting + Etsy (export optional)</t>
  </si>
  <si>
    <t xml:space="preserve">New discovery channels</t>
  </si>
  <si>
    <t xml:space="preserve">Workshops</t>
  </si>
  <si>
    <t xml:space="preserve">Productise workshops (DTF/patch kits) as events + content</t>
  </si>
  <si>
    <t xml:space="preserve">Community + revenue</t>
  </si>
  <si>
    <t xml:space="preserve">Q-commerce</t>
  </si>
  <si>
    <t xml:space="preserve">Pilot Blinkit/Zepto on high-margin fast SKUs only</t>
  </si>
  <si>
    <t xml:space="preserve">Impulse gifting channel</t>
  </si>
  <si>
    <t xml:space="preserve">Loop In (rebrand) — Brand Playbook</t>
  </si>
  <si>
    <t xml:space="preserve">Event management &amp; experiential · REBRAND FIRST (Canada name/domain clash) · group's live-activation arm</t>
  </si>
  <si>
    <t xml:space="preserve">POSITIONING:  Runs the group's launches, pop-ups, drops and corporate-gifting experiences, and sells events externally. MUST rebrand: 'Loop In Events' + loopinevents.com belong to a Canadian planner. Secure a distinct, trademarked name + domain before scaling.</t>
  </si>
  <si>
    <t xml:space="preserve">REBRAND</t>
  </si>
  <si>
    <t xml:space="preserve">IP-India search (Class 41 &amp; 35); pick distinct name; lock domain+handles; file TM</t>
  </si>
  <si>
    <t xml:space="preserve">Founder + IP attorney</t>
  </si>
  <si>
    <t xml:space="preserve">Owned, trademarkable brand</t>
  </si>
  <si>
    <t xml:space="preserve">Web</t>
  </si>
  <si>
    <t xml:space="preserve">Lead-gen site + portfolio + packages + booking</t>
  </si>
  <si>
    <t xml:space="preserve">Enquiries flowing</t>
  </si>
  <si>
    <t xml:space="preserve">Pipeline</t>
  </si>
  <si>
    <t xml:space="preserve">Local + LinkedIn lead-gen; sales CRM; quote system</t>
  </si>
  <si>
    <t xml:space="preserve">Arihant + HubSpot</t>
  </si>
  <si>
    <t xml:space="preserve">3 events booked</t>
  </si>
  <si>
    <t xml:space="preserve">Ops</t>
  </si>
  <si>
    <t xml:space="preserve">Event project + vendor management system</t>
  </si>
  <si>
    <t xml:space="preserve">On-time, on-budget events</t>
  </si>
  <si>
    <t xml:space="preserve">Cross-sell</t>
  </si>
  <si>
    <t xml:space="preserve">Run Aurra Hype launches + Designomics corporate experiences</t>
  </si>
  <si>
    <t xml:space="preserve">Internal revenue + case studies</t>
  </si>
  <si>
    <t xml:space="preserve">Content</t>
  </si>
  <si>
    <t xml:space="preserve">Film every event as reels/case studies/testimonials</t>
  </si>
  <si>
    <t xml:space="preserve">Portfolio + social proof</t>
  </si>
  <si>
    <t xml:space="preserve">Post-event feedback + testimonial + upsell flow</t>
  </si>
  <si>
    <t xml:space="preserve">Arihant + n8n</t>
  </si>
  <si>
    <t xml:space="preserve">Reviews + repeat bookings</t>
  </si>
  <si>
    <t xml:space="preserve">Scale</t>
  </si>
  <si>
    <t xml:space="preserve">Signature owned event/IP (e.g. streetwear x music night)</t>
  </si>
  <si>
    <t xml:space="preserve">Brand-building flagship</t>
  </si>
  <si>
    <t xml:space="preserve">Arihant Digital — Brand Playbook</t>
  </si>
  <si>
    <t xml:space="preserve">~10-yr digital agency = the in-house engine AND a productised external offer</t>
  </si>
  <si>
    <t xml:space="preserve">POSITIONING:  The unfair advantage. Builds &amp; markets the 3 brands at internal cost, then sells that battle-tested, AI-native capability to outside clients. The 3 brands become its case studies. This is how the group funds itself and compounds.</t>
  </si>
  <si>
    <t xml:space="preserve">Internal delivery</t>
  </si>
  <si>
    <t xml:space="preserve">Deliver web, ads, SEO/GEO, automation, analytics to all 3 brands</t>
  </si>
  <si>
    <t xml:space="preserve">Arihant team</t>
  </si>
  <si>
    <t xml:space="preserve">3 brands live &amp; scaling</t>
  </si>
  <si>
    <t xml:space="preserve">Productise</t>
  </si>
  <si>
    <t xml:space="preserve">Package offers: 'AI-native growth', 'store build', 'automation setup'</t>
  </si>
  <si>
    <t xml:space="preserve">Founder</t>
  </si>
  <si>
    <t xml:space="preserve">Clear sellable packages</t>
  </si>
  <si>
    <t xml:space="preserve">Proof assets</t>
  </si>
  <si>
    <t xml:space="preserve">Turn brand wins into case studies + before/after numbers</t>
  </si>
  <si>
    <t xml:space="preserve">Portfolio of real results</t>
  </si>
  <si>
    <t xml:space="preserve">AI edge</t>
  </si>
  <si>
    <t xml:space="preserve">Lead with AI creative (Higgsfield) + automation (n8n/MCP) as differentiator</t>
  </si>
  <si>
    <t xml:space="preserve">Premium positioning</t>
  </si>
  <si>
    <t xml:space="preserve">Outbound</t>
  </si>
  <si>
    <t xml:space="preserve">Cold + inbound + referrals; sell to D2C brands like your own</t>
  </si>
  <si>
    <t xml:space="preserve">First external clients</t>
  </si>
  <si>
    <t xml:space="preserve">Retainers</t>
  </si>
  <si>
    <t xml:space="preserve">Move clients to monthly retainers (predictable revenue)</t>
  </si>
  <si>
    <t xml:space="preserve">MRR base</t>
  </si>
  <si>
    <t xml:space="preserve">Scale team</t>
  </si>
  <si>
    <t xml:space="preserve">Hire pod-based delivery; SOPs; margins</t>
  </si>
  <si>
    <t xml:space="preserve">Scalable agency</t>
  </si>
  <si>
    <t xml:space="preserve">AI &amp; CREATIVE STACK (2026, world-class)</t>
  </si>
  <si>
    <t xml:space="preserve">The AI engine world-class brands use. USD pricing indicative — verify at signup; models move fast.</t>
  </si>
  <si>
    <t xml:space="preserve">Category</t>
  </si>
  <si>
    <t xml:space="preserve">Tool</t>
  </si>
  <si>
    <t xml:space="preserve">What it does</t>
  </si>
  <si>
    <t xml:space="preserve">Best for</t>
  </si>
  <si>
    <t xml:space="preserve">Approx price (USD/mo)</t>
  </si>
  <si>
    <t xml:space="preserve">Video — UGC ads</t>
  </si>
  <si>
    <t xml:space="preserve">Higgsfield (Hermes Agent)</t>
  </si>
  <si>
    <t xml:space="preserve">Product URL → ready UGC/CGI ad video; aggregates 15+ models</t>
  </si>
  <si>
    <t xml:space="preserve">Meta/TikTok ad volume, testimonials, unboxings</t>
  </si>
  <si>
    <t xml:space="preserve">$15–84</t>
  </si>
  <si>
    <t xml:space="preserve">Video — cinematic</t>
  </si>
  <si>
    <t xml:space="preserve">Google Flow (Veo 3.1)</t>
  </si>
  <si>
    <t xml:space="preserve">Best overall AI video + native audio, 4K</t>
  </si>
  <si>
    <t xml:space="preserve">Hero brand films, drop teasers</t>
  </si>
  <si>
    <t xml:space="preserve">~$20+</t>
  </si>
  <si>
    <t xml:space="preserve">Video — control</t>
  </si>
  <si>
    <t xml:space="preserve">Runway (Gen-4.5)</t>
  </si>
  <si>
    <t xml:space="preserve">Keyframes, motion brush, character consistency, editor</t>
  </si>
  <si>
    <t xml:space="preserve">Marketer-controlled brand video</t>
  </si>
  <si>
    <t xml:space="preserve">$15–95</t>
  </si>
  <si>
    <t xml:space="preserve">Video — value</t>
  </si>
  <si>
    <t xml:space="preserve">Kling 3.0</t>
  </si>
  <si>
    <t xml:space="preserve">Cheapest premium model (~$0.10/s), multi-shot</t>
  </si>
  <si>
    <t xml:space="preserve">High-volume iteration</t>
  </si>
  <si>
    <t xml:space="preserve">pay-as-you-go</t>
  </si>
  <si>
    <t xml:space="preserve">Video — repurpose</t>
  </si>
  <si>
    <t xml:space="preserve">1 long video → many captioned clips; edit by text</t>
  </si>
  <si>
    <t xml:space="preserve">Reels/Shorts factory, podcasts</t>
  </si>
  <si>
    <t xml:space="preserve">$15–30</t>
  </si>
  <si>
    <t xml:space="preserve">Image — concept</t>
  </si>
  <si>
    <t xml:space="preserve">Midjourney</t>
  </si>
  <si>
    <t xml:space="preserve">Best-in-class stylised imagery</t>
  </si>
  <si>
    <t xml:space="preserve">Moodboards, campaign concepts</t>
  </si>
  <si>
    <t xml:space="preserve">$10–60</t>
  </si>
  <si>
    <t xml:space="preserve">Image — realtime</t>
  </si>
  <si>
    <t xml:space="preserve">Krea / Leonardo</t>
  </si>
  <si>
    <t xml:space="preserve">Real-time + model hub (Flux etc.)</t>
  </si>
  <si>
    <t xml:space="preserve">Fast product/lifestyle variations</t>
  </si>
  <si>
    <t xml:space="preserve">Image — text/logo</t>
  </si>
  <si>
    <t xml:space="preserve">Ideogram</t>
  </si>
  <si>
    <t xml:space="preserve">Best text-in-image + logo/poster</t>
  </si>
  <si>
    <t xml:space="preserve">Posters, packaging art, typography</t>
  </si>
  <si>
    <t xml:space="preserve">$8–48</t>
  </si>
  <si>
    <t xml:space="preserve">Image — product</t>
  </si>
  <si>
    <t xml:space="preserve">Photoroom / Flair</t>
  </si>
  <si>
    <t xml:space="preserve">Background removal + AI product scenes</t>
  </si>
  <si>
    <t xml:space="preserve">Catalog + on-model shots</t>
  </si>
  <si>
    <t xml:space="preserve">$10–40</t>
  </si>
  <si>
    <t xml:space="preserve">Voice</t>
  </si>
  <si>
    <t xml:space="preserve">ElevenLabs</t>
  </si>
  <si>
    <t xml:space="preserve">Realistic AI voiceover, many languages</t>
  </si>
  <si>
    <t xml:space="preserve">Ad VO, IVR, dubbing</t>
  </si>
  <si>
    <t xml:space="preserve">$5–99</t>
  </si>
  <si>
    <t xml:space="preserve">Avatar</t>
  </si>
  <si>
    <t xml:space="preserve">HeyGen</t>
  </si>
  <si>
    <t xml:space="preserve">Talking-avatar spokesperson videos</t>
  </si>
  <si>
    <t xml:space="preserve">Multilingual promos, explainers</t>
  </si>
  <si>
    <t xml:space="preserve">$29–89</t>
  </si>
  <si>
    <t xml:space="preserve">Copy / brains</t>
  </si>
  <si>
    <t xml:space="preserve">Copy, scripts, briefs, research, agents</t>
  </si>
  <si>
    <t xml:space="preserve">All content + strategy + coding</t>
  </si>
  <si>
    <t xml:space="preserve">$25–30/seat</t>
  </si>
  <si>
    <t xml:space="preserve">Multimodal</t>
  </si>
  <si>
    <t xml:space="preserve">Docs, deep research, image+video understanding</t>
  </si>
  <si>
    <t xml:space="preserve">Research, analysis, Workspace</t>
  </si>
  <si>
    <t xml:space="preserve">$20+</t>
  </si>
  <si>
    <t xml:space="preserve">AI agents / MCP</t>
  </si>
  <si>
    <t xml:space="preserve">Connect AI to store/CRM/DBs; run agentic ops</t>
  </si>
  <si>
    <t xml:space="preserve">Founder command layer, automations</t>
  </si>
  <si>
    <t xml:space="preserve">usage</t>
  </si>
  <si>
    <t xml:space="preserve">No-code agents</t>
  </si>
  <si>
    <t xml:space="preserve">Build ops agents (research, outreach, ops)</t>
  </si>
  <si>
    <t xml:space="preserve">Sales/ops automation w/o code</t>
  </si>
  <si>
    <t xml:space="preserve">$20–99</t>
  </si>
  <si>
    <t xml:space="preserve">Wire every app + AI together</t>
  </si>
  <si>
    <t xml:space="preserve">Backbone of all automations</t>
  </si>
  <si>
    <t xml:space="preserve">$0–50</t>
  </si>
  <si>
    <t xml:space="preserve">Chat automation</t>
  </si>
  <si>
    <t xml:space="preserve">IG/FB/WhatsApp/Telegram/SMS comment+DM flows</t>
  </si>
  <si>
    <t xml:space="preserve">Social selling automation</t>
  </si>
  <si>
    <t xml:space="preserve">$15–139</t>
  </si>
  <si>
    <t xml:space="preserve">Creative analytics</t>
  </si>
  <si>
    <t xml:space="preserve">Motion</t>
  </si>
  <si>
    <t xml:space="preserve">Auto-tags creative + performance; winner detection</t>
  </si>
  <si>
    <t xml:space="preserve">Scaling ads profitably</t>
  </si>
  <si>
    <t xml:space="preserve">$99–499</t>
  </si>
  <si>
    <t xml:space="preserve">Profit analytics</t>
  </si>
  <si>
    <t xml:space="preserve">Triple Whale</t>
  </si>
  <si>
    <t xml:space="preserve">True profit/attribution per creative/channel</t>
  </si>
  <si>
    <t xml:space="preserve">D2C financial truth</t>
  </si>
  <si>
    <t xml:space="preserve">$129–499</t>
  </si>
  <si>
    <t xml:space="preserve">AUTOMATION CATALOGUE</t>
  </si>
  <si>
    <t xml:space="preserve">Build on n8n/Make + WhatsApp API + ManyChat + GPT/Claude(MCP). Channel-tagged.</t>
  </si>
  <si>
    <t xml:space="preserve">Channel</t>
  </si>
  <si>
    <t xml:space="preserve">Trigger → Action</t>
  </si>
  <si>
    <t xml:space="preserve">Tools</t>
  </si>
  <si>
    <t xml:space="preserve">Impact</t>
  </si>
  <si>
    <t xml:space="preserve">Abandoned-cart recovery</t>
  </si>
  <si>
    <t xml:space="preserve">WhatsApp+Email</t>
  </si>
  <si>
    <t xml:space="preserve">Aurra/Design</t>
  </si>
  <si>
    <t xml:space="preserve">Cart not completed → timed WA+email w/ product+offer</t>
  </si>
  <si>
    <t xml:space="preserve">Shopify+Klaviyo+AiSensy+n8n</t>
  </si>
  <si>
    <t xml:space="preserve">Recovers 8-15% carts</t>
  </si>
  <si>
    <t xml:space="preserve">Order status updates</t>
  </si>
  <si>
    <t xml:space="preserve">WhatsApp</t>
  </si>
  <si>
    <t xml:space="preserve">All</t>
  </si>
  <si>
    <t xml:space="preserve">Placed/shipped/OFD/delivered → auto WA w/ tracking</t>
  </si>
  <si>
    <t xml:space="preserve">Shiprocket+WA API+n8n</t>
  </si>
  <si>
    <t xml:space="preserve">-60% WISMO tickets</t>
  </si>
  <si>
    <t xml:space="preserve">IG comment-to-DM funnel</t>
  </si>
  <si>
    <t xml:space="preserve">Instagram</t>
  </si>
  <si>
    <t xml:space="preserve">Comment keyword → auto DM link/coupon → capture</t>
  </si>
  <si>
    <t xml:space="preserve">Turns engagement into sales</t>
  </si>
  <si>
    <t xml:space="preserve">IG/DM auto-reply + qualify</t>
  </si>
  <si>
    <t xml:space="preserve">DM in → AI reply, sizing/FAQ, qualify, handoff</t>
  </si>
  <si>
    <t xml:space="preserve">ManyChat + Chatbase</t>
  </si>
  <si>
    <t xml:space="preserve">24x7 IG selling</t>
  </si>
  <si>
    <t xml:space="preserve">WhatsApp catalog + checkout</t>
  </si>
  <si>
    <t xml:space="preserve">Browse catalog, order, pay on WhatsApp</t>
  </si>
  <si>
    <t xml:space="preserve">AiSensy + Razorpay</t>
  </si>
  <si>
    <t xml:space="preserve">High-converting channel</t>
  </si>
  <si>
    <t xml:space="preserve">Telegram drops/VIP broadcast</t>
  </si>
  <si>
    <t xml:space="preserve">Telegram</t>
  </si>
  <si>
    <t xml:space="preserve">Aurra</t>
  </si>
  <si>
    <t xml:space="preserve">New drop → broadcast to VIP list + early access</t>
  </si>
  <si>
    <t xml:space="preserve">Telegram Bot + n8n</t>
  </si>
  <si>
    <t xml:space="preserve">Facebook lead → CRM</t>
  </si>
  <si>
    <t xml:space="preserve">Facebook</t>
  </si>
  <si>
    <t xml:space="preserve">Loop In/Design</t>
  </si>
  <si>
    <t xml:space="preserve">Lead ad → CRM → auto WA/email + assign</t>
  </si>
  <si>
    <t xml:space="preserve">ManyChat + HubSpot + n8n</t>
  </si>
  <si>
    <t xml:space="preserve">No lead dropped</t>
  </si>
  <si>
    <t xml:space="preserve">AI support chatbot</t>
  </si>
  <si>
    <t xml:space="preserve">Site+WA</t>
  </si>
  <si>
    <t xml:space="preserve">Any query → sizing/returns/status; human handoff</t>
  </si>
  <si>
    <t xml:space="preserve">24x7 support</t>
  </si>
  <si>
    <t xml:space="preserve">Review + UGC request</t>
  </si>
  <si>
    <t xml:space="preserve">Delivered +5d → ask review+photo, reward coupon</t>
  </si>
  <si>
    <t xml:space="preserve">Judge.me/Loox+WA+n8n</t>
  </si>
  <si>
    <t xml:space="preserve">Social proof + UGC</t>
  </si>
  <si>
    <t xml:space="preserve">AI ad-creative pipeline</t>
  </si>
  <si>
    <t xml:space="preserve">Internal</t>
  </si>
  <si>
    <t xml:space="preserve">New SKU → Higgsfield UGC ad + captions auto-drafted</t>
  </si>
  <si>
    <t xml:space="preserve">Higgsfield+GPT+n8n</t>
  </si>
  <si>
    <t xml:space="preserve">Ad volume, -70% time</t>
  </si>
  <si>
    <t xml:space="preserve">AI product imagery</t>
  </si>
  <si>
    <t xml:space="preserve">New SKU → on-model + scene images auto-generated</t>
  </si>
  <si>
    <t xml:space="preserve">Photoroom/Krea+n8n</t>
  </si>
  <si>
    <t xml:space="preserve">Catalog-ready fast</t>
  </si>
  <si>
    <t xml:space="preserve">Daily founder digest</t>
  </si>
  <si>
    <t xml:space="preserve">WhatsApp/Telegram</t>
  </si>
  <si>
    <t xml:space="preserve">8am → sales, spend, ROAS, top SKUs, low stock</t>
  </si>
  <si>
    <t xml:space="preserve">Sheets+GA4+Meta+GPT+n8n</t>
  </si>
  <si>
    <t xml:space="preserve">One-glance control</t>
  </si>
  <si>
    <t xml:space="preserve">Low-stock + auto-PO</t>
  </si>
  <si>
    <t xml:space="preserve">Stock&lt;threshold → alert + draft PO to supplier</t>
  </si>
  <si>
    <t xml:space="preserve">Zoho Inv+n8n</t>
  </si>
  <si>
    <t xml:space="preserve">No stockouts on winners</t>
  </si>
  <si>
    <t xml:space="preserve">RTO/COD risk flag</t>
  </si>
  <si>
    <t xml:space="preserve">COD order → risk score → verify risky via WA</t>
  </si>
  <si>
    <t xml:space="preserve">GoKwik/Shiprocket+n8n</t>
  </si>
  <si>
    <t xml:space="preserve">Protects margin</t>
  </si>
  <si>
    <t xml:space="preserve">Lead → CRM → nurture</t>
  </si>
  <si>
    <t xml:space="preserve">Multi</t>
  </si>
  <si>
    <t xml:space="preserve">Any lead → CRM, intro+booking link, drip</t>
  </si>
  <si>
    <t xml:space="preserve">Forms+HubSpot+n8n</t>
  </si>
  <si>
    <t xml:space="preserve">Faster follow-up</t>
  </si>
  <si>
    <t xml:space="preserve">Occasion gifting reminder</t>
  </si>
  <si>
    <t xml:space="preserve">Birthday/festival nears → nudge + pre-filled cart</t>
  </si>
  <si>
    <t xml:space="preserve">CRM+Klaviyo+WA</t>
  </si>
  <si>
    <t xml:space="preserve">Recurring revenue</t>
  </si>
  <si>
    <t xml:space="preserve">Post-event feedback+upsell</t>
  </si>
  <si>
    <t xml:space="preserve">Event ends → feedback+testimonial+next offer</t>
  </si>
  <si>
    <t xml:space="preserve">Forms+CRM+WA</t>
  </si>
  <si>
    <t xml:space="preserve">Reviews + rebookings</t>
  </si>
  <si>
    <t xml:space="preserve">Influencer outreach at scale</t>
  </si>
  <si>
    <t xml:space="preserve">IG/Email</t>
  </si>
  <si>
    <t xml:space="preserve">Weekly → find+DM micro-creators, track replies</t>
  </si>
  <si>
    <t xml:space="preserve">Sheets+IG+GPT+n8n</t>
  </si>
  <si>
    <t xml:space="preserve">Scales seeding cheaply</t>
  </si>
  <si>
    <t xml:space="preserve">Marketplace listing sync</t>
  </si>
  <si>
    <t xml:space="preserve">New/edited SKU → push to Amazon/Flipkart w/ A+ copy</t>
  </si>
  <si>
    <t xml:space="preserve">Unicommerce+GPT+n8n</t>
  </si>
  <si>
    <t xml:space="preserve">List everywhere fast</t>
  </si>
  <si>
    <t xml:space="preserve">Client-ready weekly report</t>
  </si>
  <si>
    <t xml:space="preserve">Mondays → branded KPI PDF auto-built</t>
  </si>
  <si>
    <t xml:space="preserve">Looker+GPT+n8n</t>
  </si>
  <si>
    <t xml:space="preserve">Sellable Arihant service</t>
  </si>
  <si>
    <t xml:space="preserve">Social scheduling + repurpose</t>
  </si>
  <si>
    <t xml:space="preserve">New asset → auto-schedule across IG/FB/YT/LinkedIn</t>
  </si>
  <si>
    <t xml:space="preserve">Metricool+Opus+n8n</t>
  </si>
  <si>
    <t xml:space="preserve">Consistent omni-presence</t>
  </si>
  <si>
    <t xml:space="preserve">Meeting → action items</t>
  </si>
  <si>
    <t xml:space="preserve">Call ends → AI notes + tasks to project tool</t>
  </si>
  <si>
    <t xml:space="preserve">Fathom/Fireflies+Notion</t>
  </si>
  <si>
    <t xml:space="preserve">Nothing falls through</t>
  </si>
  <si>
    <t xml:space="preserve">FOUNDER OPERATING SYSTEM</t>
  </si>
  <si>
    <t xml:space="preserve">One command center to run all 4 brands. Full detail in the Founder OS playbook doc.</t>
  </si>
  <si>
    <t xml:space="preserve">Layer</t>
  </si>
  <si>
    <t xml:space="preserve">What it is</t>
  </si>
  <si>
    <t xml:space="preserve">Cadence / notes</t>
  </si>
  <si>
    <t xml:space="preserve">1 · Command Center</t>
  </si>
  <si>
    <t xml:space="preserve">Single dashboard: revenue, CAC, ROAS, AOV, cash, stock, pipeline — all 4 brands</t>
  </si>
  <si>
    <t xml:space="preserve">Looker Studio + Triple Whale + Sheets (fed by n8n)</t>
  </si>
  <si>
    <t xml:space="preserve">Live; check each morning</t>
  </si>
  <si>
    <t xml:space="preserve">2 · Daily digest</t>
  </si>
  <si>
    <t xml:space="preserve">8am WhatsApp/Telegram summary + anomalies + to-dos</t>
  </si>
  <si>
    <t xml:space="preserve">n8n + GPT + WhatsApp/Telegram</t>
  </si>
  <si>
    <t xml:space="preserve">Daily, automated</t>
  </si>
  <si>
    <t xml:space="preserve">3 · AI Chief of Staff</t>
  </si>
  <si>
    <t xml:space="preserve">Ask questions across your data via Claude + MCP connectors (Shopify, ads, CRM, Sheets)</t>
  </si>
  <si>
    <t xml:space="preserve">On-demand, conversational</t>
  </si>
  <si>
    <t xml:space="preserve">4 · Work system</t>
  </si>
  <si>
    <t xml:space="preserve">All brand workstreams, tasks, SOPs in one place</t>
  </si>
  <si>
    <t xml:space="preserve">Weekly review</t>
  </si>
  <si>
    <t xml:space="preserve">5 · Time &amp; focus</t>
  </si>
  <si>
    <t xml:space="preserve">AI auto-schedules deep work, meetings, priorities</t>
  </si>
  <si>
    <t xml:space="preserve">Daily auto-planning</t>
  </si>
  <si>
    <t xml:space="preserve">6 · Meetings</t>
  </si>
  <si>
    <t xml:space="preserve">Auto notes + action items pushed to tasks</t>
  </si>
  <si>
    <t xml:space="preserve">Every call</t>
  </si>
  <si>
    <t xml:space="preserve">7 · Comms hub</t>
  </si>
  <si>
    <t xml:space="preserve">One inbox: email, IG, WhatsApp, chat</t>
  </si>
  <si>
    <t xml:space="preserve">Gorgias / shared inbox + Superhuman</t>
  </si>
  <si>
    <t xml:space="preserve">Batch 2x/day</t>
  </si>
  <si>
    <t xml:space="preserve">8 · Money view</t>
  </si>
  <si>
    <t xml:space="preserve">Spend, burn, runway, approvals across brands</t>
  </si>
  <si>
    <t xml:space="preserve">Volopay/Jify + Zoho Books</t>
  </si>
  <si>
    <t xml:space="preserve">Weekly</t>
  </si>
  <si>
    <t xml:space="preserve">9 · Approvals</t>
  </si>
  <si>
    <t xml:space="preserve">Creative, spend, hires flow to you for 1-tap approve</t>
  </si>
  <si>
    <t xml:space="preserve">n8n + WhatsApp/Slack</t>
  </si>
  <si>
    <t xml:space="preserve">Async</t>
  </si>
  <si>
    <t xml:space="preserve">10 · Weekly scorecard</t>
  </si>
  <si>
    <t xml:space="preserve">Auto scorecard vs targets per brand + team accountability</t>
  </si>
  <si>
    <t xml:space="preserve">Looker + n8n</t>
  </si>
  <si>
    <t xml:space="preserve">Monday review</t>
  </si>
  <si>
    <t xml:space="preserve">WORLD-CLASS BENCHMARKS — what leading brands use, by function</t>
  </si>
  <si>
    <t xml:space="preserve">Copy proven playbooks. Match your function to the best-in-class default.</t>
  </si>
  <si>
    <t xml:space="preserve">Function</t>
  </si>
  <si>
    <t xml:space="preserve">World-class default stack</t>
  </si>
  <si>
    <t xml:space="preserve">Example brands (global/India)</t>
  </si>
  <si>
    <t xml:space="preserve">Your move</t>
  </si>
  <si>
    <t xml:space="preserve">D2C platform</t>
  </si>
  <si>
    <t xml:space="preserve">Shopify (→ Plus at scale)</t>
  </si>
  <si>
    <t xml:space="preserve">Gymshark, Allbirds, boAt, Sugar</t>
  </si>
  <si>
    <t xml:space="preserve">Shopify for Aurra + Designomics</t>
  </si>
  <si>
    <t xml:space="preserve">Email/SMS retention</t>
  </si>
  <si>
    <t xml:space="preserve">Klaviyo (+ Attentive/Postscript SMS)</t>
  </si>
  <si>
    <t xml:space="preserve">Vuori, Ridge, Mamaearth</t>
  </si>
  <si>
    <t xml:space="preserve">Klaviyo + WhatsApp (India)</t>
  </si>
  <si>
    <t xml:space="preserve">Triple Whale (50k+ brands)</t>
  </si>
  <si>
    <t xml:space="preserve">Ridge, Obvi</t>
  </si>
  <si>
    <t xml:space="preserve">Triple Whale for Aurra</t>
  </si>
  <si>
    <t xml:space="preserve">Vuori, Keeps, Ridge</t>
  </si>
  <si>
    <t xml:space="preserve">Motion once ad spend scales</t>
  </si>
  <si>
    <t xml:space="preserve">AI ad creative</t>
  </si>
  <si>
    <t xml:space="preserve">Higgsfield + Runway + Veo</t>
  </si>
  <si>
    <t xml:space="preserve">AI-native D2C brands 2026</t>
  </si>
  <si>
    <t xml:space="preserve">Higgsfield for UGC ad volume</t>
  </si>
  <si>
    <t xml:space="preserve">ManyChat (IG/WA) </t>
  </si>
  <si>
    <t xml:space="preserve">Creators + D2C at scale</t>
  </si>
  <si>
    <t xml:space="preserve">ManyChat + AiSensy</t>
  </si>
  <si>
    <t xml:space="preserve">Support</t>
  </si>
  <si>
    <t xml:space="preserve">Gorgias (AI-first)</t>
  </si>
  <si>
    <t xml:space="preserve">Steve Madden, Princess Polly</t>
  </si>
  <si>
    <t xml:space="preserve">Gorgias AI across brands</t>
  </si>
  <si>
    <t xml:space="preserve">SKIMS, Glossier</t>
  </si>
  <si>
    <t xml:space="preserve">GRIN once seeding scales</t>
  </si>
  <si>
    <t xml:space="preserve">Reviews/UGC</t>
  </si>
  <si>
    <t xml:space="preserve">Okendo / Loox / Judge.me</t>
  </si>
  <si>
    <t xml:space="preserve">Premium D2C</t>
  </si>
  <si>
    <t xml:space="preserve">Judge.me/Loox on Shopify</t>
  </si>
  <si>
    <t xml:space="preserve">Subscriptions</t>
  </si>
  <si>
    <t xml:space="preserve">Recharge / Loop</t>
  </si>
  <si>
    <t xml:space="preserve">Athletic Greens</t>
  </si>
  <si>
    <t xml:space="preserve">Only if gifting subscription boxes</t>
  </si>
  <si>
    <t xml:space="preserve">Returns</t>
  </si>
  <si>
    <t xml:space="preserve">Loop Returns / Return Prime</t>
  </si>
  <si>
    <t xml:space="preserve">Fashion D2C</t>
  </si>
  <si>
    <t xml:space="preserve">Return Prime (India)</t>
  </si>
  <si>
    <t xml:space="preserve">Analytics/attribution</t>
  </si>
  <si>
    <t xml:space="preserve">GA4 + server-side + Triple Whale</t>
  </si>
  <si>
    <t xml:space="preserve">All serious D2C</t>
  </si>
  <si>
    <t xml:space="preserve">GA4+CAPI+Stape + TW</t>
  </si>
  <si>
    <t xml:space="preserve">Automation/agents</t>
  </si>
  <si>
    <t xml:space="preserve">n8n / Make + Claude MCP</t>
  </si>
  <si>
    <t xml:space="preserve">AI-native ops teams</t>
  </si>
  <si>
    <t xml:space="preserve">n8n backbone + MCP layer</t>
  </si>
  <si>
    <t xml:space="preserve">Project/knowledge</t>
  </si>
  <si>
    <t xml:space="preserve">Notion + Linear/ClickUp</t>
  </si>
  <si>
    <t xml:space="preserve">Most startups</t>
  </si>
  <si>
    <t xml:space="preserve">Notion for 4-brand ops</t>
  </si>
  <si>
    <t xml:space="preserve">Meeting AI</t>
  </si>
  <si>
    <t xml:space="preserve">Fathom / Fireflies / Granola</t>
  </si>
  <si>
    <t xml:space="preserve">Sales-led orgs</t>
  </si>
  <si>
    <t xml:space="preserve">Fathom for all calls</t>
  </si>
  <si>
    <t xml:space="preserve">Time management</t>
  </si>
  <si>
    <t xml:space="preserve">Motion (usemotion)</t>
  </si>
  <si>
    <t xml:space="preserve">Founders/execs</t>
  </si>
  <si>
    <t xml:space="preserve">Motion for founder focus</t>
  </si>
  <si>
    <t xml:space="preserve">90-DAY SCALE ROADMAP</t>
  </si>
  <si>
    <t xml:space="preserve">M1 Foundation · M2 Engine · M3 Scale. 'Proof' = milestone that shows it's working.</t>
  </si>
  <si>
    <t xml:space="preserve">Key actions</t>
  </si>
  <si>
    <t xml:space="preserve">Owner</t>
  </si>
  <si>
    <t xml:space="preserve">Proof / KPI</t>
  </si>
  <si>
    <t xml:space="preserve">M1 · Foundation</t>
  </si>
  <si>
    <t xml:space="preserve">Legal + Brand</t>
  </si>
  <si>
    <t xml:space="preserve">Clean entities/GST; TM search+file x3; rebrand Loop In; unify brands</t>
  </si>
  <si>
    <t xml:space="preserve">Founder+CA+Designomics</t>
  </si>
  <si>
    <t xml:space="preserve">3 TMs filed · Loop In relaunched</t>
  </si>
  <si>
    <t xml:space="preserve">Tech backbone</t>
  </si>
  <si>
    <t xml:space="preserve">Shopify+domains+WA API+payments+analytics+n8n+inventory+accounting live</t>
  </si>
  <si>
    <t xml:space="preserve">All core systems connected</t>
  </si>
  <si>
    <t xml:space="preserve">Store + launch</t>
  </si>
  <si>
    <t xml:space="preserve">Store upgrade, catalog shoot, POS, amplify 12 Jul launch</t>
  </si>
  <si>
    <t xml:space="preserve">Arihant+Designomics+Loop In</t>
  </si>
  <si>
    <t xml:space="preserve">500+ footfall · content spike</t>
  </si>
  <si>
    <t xml:space="preserve">Content + AI</t>
  </si>
  <si>
    <t xml:space="preserve">Content pod live; AI creative stack (Higgsfield/Midjourney) set up</t>
  </si>
  <si>
    <t xml:space="preserve">90+ assets · AI pipeline live</t>
  </si>
  <si>
    <t xml:space="preserve">Branded boxes/inserts ordered; gift-box configurator live</t>
  </si>
  <si>
    <t xml:space="preserve">Branded unboxing shipping</t>
  </si>
  <si>
    <t xml:space="preserve">Paid on</t>
  </si>
  <si>
    <t xml:space="preserve">Meta always-on; pixel/CAPI; first tests</t>
  </si>
  <si>
    <t xml:space="preserve">M2 · Engine</t>
  </si>
  <si>
    <t xml:space="preserve">Scale paid + CRO</t>
  </si>
  <si>
    <t xml:space="preserve">Add Google/PMax; scale winners; Klaviyo+WA flows</t>
  </si>
  <si>
    <t xml:space="preserve">Arihant+Triple Whale</t>
  </si>
  <si>
    <t xml:space="preserve">ROAS &gt;= 2.5 · repeat flows live</t>
  </si>
  <si>
    <t xml:space="preserve">Automations</t>
  </si>
  <si>
    <t xml:space="preserve">Cart recovery, order updates, IG/WA bots, digest, reviews</t>
  </si>
  <si>
    <t xml:space="preserve">15+ automations live</t>
  </si>
  <si>
    <t xml:space="preserve">Marketplaces</t>
  </si>
  <si>
    <t xml:space="preserve">Amazon + Flipkart w/ A+ content + ads</t>
  </si>
  <si>
    <t xml:space="preserve">Corporate gifting</t>
  </si>
  <si>
    <t xml:space="preserve">Outbound + catalog + quote system; festive push</t>
  </si>
  <si>
    <t xml:space="preserve">Founder+Arihant</t>
  </si>
  <si>
    <t xml:space="preserve">Relaunch; lead-gen; CRM; 2-3 events booked</t>
  </si>
  <si>
    <t xml:space="preserve">Loop In+Arihant</t>
  </si>
  <si>
    <t xml:space="preserve">3 events booked · case studies</t>
  </si>
  <si>
    <t xml:space="preserve">Command center + daily digest + AI chief-of-staff live</t>
  </si>
  <si>
    <t xml:space="preserve">One-pane control of 4 brands</t>
  </si>
  <si>
    <t xml:space="preserve">M3 · Scale</t>
  </si>
  <si>
    <t xml:space="preserve">Drops + influencers</t>
  </si>
  <si>
    <t xml:space="preserve">Drop calendar; seeding; scale winning ad budgets</t>
  </si>
  <si>
    <t xml:space="preserve">Arihant+creators</t>
  </si>
  <si>
    <t xml:space="preserve">Record revenue month</t>
  </si>
  <si>
    <t xml:space="preserve">Q-comm + POD</t>
  </si>
  <si>
    <t xml:space="preserve">Test Blinkit/Zepto; POD long-tail; festive campaigns</t>
  </si>
  <si>
    <t xml:space="preserve">Q-comm pilot live</t>
  </si>
  <si>
    <t xml:space="preserve">Offline + PR</t>
  </si>
  <si>
    <t xml:space="preserve">Pop-ups/exhibitions/activations; PR features</t>
  </si>
  <si>
    <t xml:space="preserve">Loop In+Designomics</t>
  </si>
  <si>
    <t xml:space="preserve">3 activations · press</t>
  </si>
  <si>
    <t xml:space="preserve">Productise + sell</t>
  </si>
  <si>
    <t xml:space="preserve">Package offer; land first external clients off proof</t>
  </si>
  <si>
    <t xml:space="preserve">First external clients (proof)</t>
  </si>
  <si>
    <t xml:space="preserve">Prove numbers</t>
  </si>
  <si>
    <t xml:space="preserve">Full unit-economics; investor/partner deck from real data</t>
  </si>
  <si>
    <t xml:space="preserve">Arihant+CA</t>
  </si>
  <si>
    <t xml:space="preserve">Documented growth curve</t>
  </si>
  <si>
    <t xml:space="preserve">Q-COMMERCE &amp; MARKETPLACE CHANNELS</t>
  </si>
  <si>
    <t xml:space="preserve">Real 2026 India costs &amp; fit. Verify terms at signup.</t>
  </si>
  <si>
    <t xml:space="preserve">Onboarding cost / model</t>
  </si>
  <si>
    <t xml:space="preserve">Commission</t>
  </si>
  <si>
    <t xml:space="preserve">Fit</t>
  </si>
  <si>
    <t xml:space="preserve">Notes</t>
  </si>
  <si>
    <t xml:space="preserve">Own D2C (Shopify)</t>
  </si>
  <si>
    <t xml:space="preserve">All — highest margin</t>
  </si>
  <si>
    <t xml:space="preserve">Owned stack</t>
  </si>
  <si>
    <t xml:space="preserve">~2% gateway only</t>
  </si>
  <si>
    <t xml:space="preserve">Core</t>
  </si>
  <si>
    <t xml:space="preserve">Always the priority channel</t>
  </si>
  <si>
    <t xml:space="preserve">WhatsApp Commerce</t>
  </si>
  <si>
    <t xml:space="preserve">Repeat + gifting + drops</t>
  </si>
  <si>
    <t xml:space="preserve">API ~₹5-10k/mo</t>
  </si>
  <si>
    <t xml:space="preserve">per-conversation</t>
  </si>
  <si>
    <t xml:space="preserve">High</t>
  </si>
  <si>
    <t xml:space="preserve">India's highest-converting channel</t>
  </si>
  <si>
    <t xml:space="preserve">Amazon India</t>
  </si>
  <si>
    <t xml:space="preserve">Apparel + gifting</t>
  </si>
  <si>
    <t xml:space="preserve">Free acct; pay-per-sale; optional FBA</t>
  </si>
  <si>
    <t xml:space="preserve">~10-20%+</t>
  </si>
  <si>
    <t xml:space="preserve">A+ content + Sponsored Products</t>
  </si>
  <si>
    <t xml:space="preserve">Flipkart</t>
  </si>
  <si>
    <t xml:space="preserve">Free listing; per-sale</t>
  </si>
  <si>
    <t xml:space="preserve">~5-20%</t>
  </si>
  <si>
    <t xml:space="preserve">Big Billion Days spikes</t>
  </si>
  <si>
    <t xml:space="preserve">Value gifting/stickers volume</t>
  </si>
  <si>
    <t xml:space="preserve">Free; 0% commission</t>
  </si>
  <si>
    <t xml:space="preserve">Low</t>
  </si>
  <si>
    <t xml:space="preserve">Medium</t>
  </si>
  <si>
    <t xml:space="preserve">Great for low-price high-volume</t>
  </si>
  <si>
    <t xml:space="preserve">Myntra</t>
  </si>
  <si>
    <t xml:space="preserve">Aurra fashion-native</t>
  </si>
  <si>
    <t xml:space="preserve">Brand approval</t>
  </si>
  <si>
    <t xml:space="preserve">~25-40% eff.</t>
  </si>
  <si>
    <t xml:space="preserve">Med-High</t>
  </si>
  <si>
    <t xml:space="preserve">Strong for streetwear</t>
  </si>
  <si>
    <t xml:space="preserve">Ajio</t>
  </si>
  <si>
    <t xml:space="preserve">Aurra fashion</t>
  </si>
  <si>
    <t xml:space="preserve">Brand onboarding</t>
  </si>
  <si>
    <t xml:space="preserve">high</t>
  </si>
  <si>
    <t xml:space="preserve">Reliance ecosystem</t>
  </si>
  <si>
    <t xml:space="preserve">Etsy (export)</t>
  </si>
  <si>
    <t xml:space="preserve">Designomics stickers/gifting</t>
  </si>
  <si>
    <t xml:space="preserve">Free; listing+txn fees</t>
  </si>
  <si>
    <t xml:space="preserve">~6.5%+</t>
  </si>
  <si>
    <t xml:space="preserve">Med (global)</t>
  </si>
  <si>
    <t xml:space="preserve">Optional international reach</t>
  </si>
  <si>
    <t xml:space="preserve">Blinkit</t>
  </si>
  <si>
    <t xml:space="preserve">Impulse gifting SKUs</t>
  </si>
  <si>
    <t xml:space="preserve">~₹25k/SKU/state (ad credits)+₹2-3L/mo</t>
  </si>
  <si>
    <t xml:space="preserve">15-25%+</t>
  </si>
  <si>
    <t xml:space="preserve">Med (need &gt;65% margin)</t>
  </si>
  <si>
    <t xml:space="preserve">Selective; fast movers only</t>
  </si>
  <si>
    <t xml:space="preserve">Zepto</t>
  </si>
  <si>
    <t xml:space="preserve">Premium gifting</t>
  </si>
  <si>
    <t xml:space="preserve">Bundled ~₹5-6L; Atom ₹30k/mo</t>
  </si>
  <si>
    <t xml:space="preserve">10-25%</t>
  </si>
  <si>
    <t xml:space="preserve">Low-Med</t>
  </si>
  <si>
    <t xml:space="preserve">Expensive entry</t>
  </si>
  <si>
    <t xml:space="preserve">Swiggy Instamart</t>
  </si>
  <si>
    <t xml:space="preserve">Easiest q-comm test</t>
  </si>
  <si>
    <t xml:space="preserve">No fee; weekly POs ₹2-5k</t>
  </si>
  <si>
    <t xml:space="preserve">15-25%</t>
  </si>
  <si>
    <t xml:space="preserve">Lightest q-comm commitment</t>
  </si>
  <si>
    <t xml:space="preserve">BUDGET SUMMARY — by Domain</t>
  </si>
  <si>
    <t xml:space="preserve">Live SUMIF from Master Stack. Ad spend included in monthly. Aggressive scenario.</t>
  </si>
  <si>
    <t xml:space="preserve">3-Month Run (₹)</t>
  </si>
  <si>
    <t xml:space="preserve">TOTAL</t>
  </si>
  <si>
    <t xml:space="preserve">In-house work by Arihant/Designomics is shown at internal tool cost, not agency price — that spread is the group's margin advantage. Ad + AI-tool lines are floors; scale with ROAS. AI tools billed in USD are approximated here in INR via their Master Stack lines.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</si>
</sst>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9"/>
      <color rgb="FF333333"/>
      <name val="Calibri"/>
      <family val="0"/>
      <charset val="1"/>
    </font>
    <font>
      <b val="true"/>
      <sz val="12"/>
      <color rgb="FF1F2A44"/>
      <name val="Calibri"/>
      <family val="0"/>
      <charset val="1"/>
    </font>
    <font>
      <b val="true"/>
      <sz val="10"/>
      <color rgb="FF2E5AAC"/>
      <name val="Calibri"/>
      <family val="0"/>
      <charset val="1"/>
    </font>
    <font>
      <sz val="10"/>
      <color rgb="FF222222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222222"/>
      <name val="Calibri"/>
      <family val="0"/>
      <charset val="1"/>
    </font>
    <font>
      <b val="true"/>
      <sz val="10"/>
      <color rgb="FF1F2A44"/>
      <name val="Calibri"/>
      <family val="0"/>
      <charset val="1"/>
    </font>
    <font>
      <i val="true"/>
      <sz val="10"/>
      <color rgb="FF333333"/>
      <name val="Calibri"/>
      <family val="0"/>
      <charset val="1"/>
    </font>
    <font>
      <b val="true"/>
      <sz val="9"/>
      <color rgb="FF222222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555555"/>
      <name val="Calibri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2A44"/>
        <bgColor rgb="FF222222"/>
      </patternFill>
    </fill>
    <fill>
      <patternFill patternType="solid">
        <fgColor rgb="FFF4F5F7"/>
        <bgColor rgb="FFFAFBFC"/>
      </patternFill>
    </fill>
    <fill>
      <patternFill patternType="solid">
        <fgColor rgb="FFE8EEF9"/>
        <bgColor rgb="FFF4F5F7"/>
      </patternFill>
    </fill>
    <fill>
      <patternFill patternType="solid">
        <fgColor rgb="FFB02A37"/>
        <bgColor rgb="FF7A2E5B"/>
      </patternFill>
    </fill>
    <fill>
      <patternFill patternType="solid">
        <fgColor rgb="FFFAFBFC"/>
        <bgColor rgb="FFFFFFFF"/>
      </patternFill>
    </fill>
    <fill>
      <patternFill patternType="solid">
        <fgColor rgb="FFFFF2CC"/>
        <bgColor rgb="FFFFF3C4"/>
      </patternFill>
    </fill>
    <fill>
      <patternFill patternType="solid">
        <fgColor rgb="FFFCE4D6"/>
        <bgColor rgb="FFFFF2CC"/>
      </patternFill>
    </fill>
    <fill>
      <patternFill patternType="solid">
        <fgColor rgb="FFC05621"/>
        <bgColor rgb="FFB02A37"/>
      </patternFill>
    </fill>
    <fill>
      <patternFill patternType="solid">
        <fgColor rgb="FFE2EFDA"/>
        <bgColor rgb="FFE8EEF9"/>
      </patternFill>
    </fill>
    <fill>
      <patternFill patternType="solid">
        <fgColor rgb="FF0E7C7B"/>
        <bgColor rgb="FF008080"/>
      </patternFill>
    </fill>
    <fill>
      <patternFill patternType="solid">
        <fgColor rgb="FF7A8288"/>
        <bgColor rgb="FF969696"/>
      </patternFill>
    </fill>
    <fill>
      <patternFill patternType="solid">
        <fgColor rgb="FFFFF3C4"/>
        <bgColor rgb="FFFFF2CC"/>
      </patternFill>
    </fill>
    <fill>
      <patternFill patternType="solid">
        <fgColor rgb="FF1E7D34"/>
        <bgColor rgb="FF0E7C7B"/>
      </patternFill>
    </fill>
    <fill>
      <patternFill patternType="solid">
        <fgColor rgb="FF5B3A8C"/>
        <bgColor rgb="FF7A2E5B"/>
      </patternFill>
    </fill>
    <fill>
      <patternFill patternType="solid">
        <fgColor rgb="FF2E5AAC"/>
        <bgColor rgb="FF3366FF"/>
      </patternFill>
    </fill>
    <fill>
      <patternFill patternType="solid">
        <fgColor rgb="FF7A2E5B"/>
        <bgColor rgb="FF5B3A8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11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AFB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8EEF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E7C7B"/>
          <bgColor rgb="FF000000"/>
        </patternFill>
      </fill>
    </dxf>
    <dxf>
      <fill>
        <patternFill patternType="solid">
          <fgColor rgb="FF7A8288"/>
          <bgColor rgb="FF000000"/>
        </patternFill>
      </fill>
    </dxf>
    <dxf>
      <fill>
        <patternFill patternType="solid">
          <fgColor rgb="FFB02A37"/>
          <bgColor rgb="FF000000"/>
        </patternFill>
      </fill>
    </dxf>
    <dxf>
      <fill>
        <patternFill patternType="solid">
          <fgColor rgb="FFC0562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D34"/>
      <rgbColor rgb="FF000080"/>
      <rgbColor rgb="FF808000"/>
      <rgbColor rgb="FF800080"/>
      <rgbColor rgb="FF0E7C7B"/>
      <rgbColor rgb="FFFAFBFC"/>
      <rgbColor rgb="FF7A8288"/>
      <rgbColor rgb="FF9999FF"/>
      <rgbColor rgb="FF7A2E5B"/>
      <rgbColor rgb="FFFFF3C4"/>
      <rgbColor rgb="FFE8EEF9"/>
      <rgbColor rgb="FF660066"/>
      <rgbColor rgb="FFFF8080"/>
      <rgbColor rgb="FF2E5AA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5F7"/>
      <rgbColor rgb="FFE2EFDA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2A44"/>
      <rgbColor rgb="FF339966"/>
      <rgbColor rgb="FF003300"/>
      <rgbColor rgb="FF222222"/>
      <rgbColor rgb="FFC05621"/>
      <rgbColor rgb="FFB02A37"/>
      <rgbColor rgb="FF5B3A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27.75" hidden="false" customHeight="true" outlineLevel="0" collapsed="false">
      <c r="A1" s="1" t="s">
        <v>0</v>
      </c>
      <c r="B1" s="1"/>
    </row>
    <row r="2" customFormat="false" ht="15.75" hidden="false" customHeight="true" outlineLevel="0" collapsed="false">
      <c r="A2" s="2" t="s">
        <v>1</v>
      </c>
      <c r="B2" s="2"/>
    </row>
    <row r="4" customFormat="false" ht="15" hidden="false" customHeight="tru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20.85" hidden="false" customHeight="false" outlineLevel="0" collapsed="false">
      <c r="A6" s="4" t="s">
        <v>5</v>
      </c>
      <c r="B6" s="5" t="s">
        <v>6</v>
      </c>
    </row>
    <row r="7" customFormat="false" ht="20.85" hidden="false" customHeight="false" outlineLevel="0" collapsed="false">
      <c r="A7" s="4" t="s">
        <v>7</v>
      </c>
      <c r="B7" s="5" t="s">
        <v>8</v>
      </c>
    </row>
    <row r="8" customFormat="false" ht="20.8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/>
      <c r="B9" s="5"/>
    </row>
    <row r="10" customFormat="false" ht="15" hidden="false" customHeight="true" outlineLevel="0" collapsed="false">
      <c r="A10" s="3" t="s">
        <v>11</v>
      </c>
      <c r="B10" s="3"/>
    </row>
    <row r="11" customFormat="false" ht="20.85" hidden="false" customHeight="false" outlineLevel="0" collapsed="false">
      <c r="A11" s="4" t="s">
        <v>12</v>
      </c>
      <c r="B11" s="5" t="s">
        <v>13</v>
      </c>
    </row>
    <row r="12" customFormat="false" ht="20.85" hidden="false" customHeight="false" outlineLevel="0" collapsed="false">
      <c r="A12" s="4" t="s">
        <v>14</v>
      </c>
      <c r="B12" s="5" t="s">
        <v>15</v>
      </c>
    </row>
    <row r="13" customFormat="false" ht="15" hidden="false" customHeight="false" outlineLevel="0" collapsed="false">
      <c r="A13" s="4" t="s">
        <v>16</v>
      </c>
      <c r="B13" s="5" t="s">
        <v>17</v>
      </c>
    </row>
    <row r="14" customFormat="false" ht="20.8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 t="s">
        <v>20</v>
      </c>
      <c r="B15" s="5" t="s">
        <v>21</v>
      </c>
    </row>
    <row r="16" customFormat="false" ht="15" hidden="false" customHeight="false" outlineLevel="0" collapsed="false">
      <c r="A16" s="4" t="s">
        <v>22</v>
      </c>
      <c r="B16" s="5" t="s">
        <v>23</v>
      </c>
    </row>
    <row r="17" customFormat="false" ht="15" hidden="false" customHeight="false" outlineLevel="0" collapsed="false">
      <c r="A17" s="4"/>
      <c r="B17" s="5"/>
    </row>
    <row r="18" customFormat="false" ht="15" hidden="false" customHeight="true" outlineLevel="0" collapsed="false">
      <c r="A18" s="3" t="s">
        <v>24</v>
      </c>
      <c r="B18" s="3"/>
    </row>
    <row r="19" customFormat="false" ht="15" hidden="false" customHeight="false" outlineLevel="0" collapsed="false">
      <c r="A19" s="4" t="s">
        <v>25</v>
      </c>
      <c r="B19" s="5" t="s">
        <v>26</v>
      </c>
    </row>
    <row r="20" customFormat="false" ht="15" hidden="false" customHeight="false" outlineLevel="0" collapsed="false">
      <c r="A20" s="4" t="s">
        <v>27</v>
      </c>
      <c r="B20" s="5" t="s">
        <v>28</v>
      </c>
    </row>
    <row r="21" customFormat="false" ht="15" hidden="false" customHeight="false" outlineLevel="0" collapsed="false">
      <c r="A21" s="4" t="s">
        <v>29</v>
      </c>
      <c r="B21" s="5" t="s">
        <v>30</v>
      </c>
    </row>
  </sheetData>
  <mergeCells count="5">
    <mergeCell ref="A1:B1"/>
    <mergeCell ref="A2:B2"/>
    <mergeCell ref="A4:B4"/>
    <mergeCell ref="A10:B10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42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9"/>
    <col collapsed="false" customWidth="true" hidden="false" outlineLevel="0" max="9" min="9" style="0" width="25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7"/>
  </cols>
  <sheetData>
    <row r="1" customFormat="false" ht="27.7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25</v>
      </c>
      <c r="H4" s="6" t="s">
        <v>27</v>
      </c>
      <c r="I4" s="6" t="s">
        <v>39</v>
      </c>
      <c r="J4" s="6" t="s">
        <v>40</v>
      </c>
      <c r="K4" s="6" t="s">
        <v>41</v>
      </c>
      <c r="L4" s="6" t="s">
        <v>42</v>
      </c>
    </row>
    <row r="5" customFormat="false" ht="19.4" hidden="false" customHeight="false" outlineLevel="0" collapsed="false">
      <c r="A5" s="7" t="n">
        <v>1</v>
      </c>
      <c r="B5" s="8" t="s">
        <v>43</v>
      </c>
      <c r="C5" s="9" t="s">
        <v>44</v>
      </c>
      <c r="D5" s="9" t="s">
        <v>45</v>
      </c>
      <c r="E5" s="9" t="s">
        <v>46</v>
      </c>
      <c r="F5" s="7" t="s">
        <v>47</v>
      </c>
      <c r="G5" s="10" t="s">
        <v>48</v>
      </c>
      <c r="H5" s="9" t="s">
        <v>49</v>
      </c>
      <c r="I5" s="9" t="s">
        <v>50</v>
      </c>
      <c r="J5" s="11" t="n">
        <v>40000</v>
      </c>
      <c r="K5" s="11" t="n">
        <v>0</v>
      </c>
      <c r="L5" s="7" t="s">
        <v>51</v>
      </c>
    </row>
    <row r="6" customFormat="false" ht="15" hidden="false" customHeight="false" outlineLevel="0" collapsed="false">
      <c r="A6" s="12" t="n">
        <v>2</v>
      </c>
      <c r="B6" s="13" t="s">
        <v>52</v>
      </c>
      <c r="C6" s="14" t="s">
        <v>44</v>
      </c>
      <c r="D6" s="14" t="s">
        <v>53</v>
      </c>
      <c r="E6" s="14" t="s">
        <v>54</v>
      </c>
      <c r="F6" s="12" t="s">
        <v>47</v>
      </c>
      <c r="G6" s="10" t="s">
        <v>48</v>
      </c>
      <c r="H6" s="14" t="s">
        <v>49</v>
      </c>
      <c r="I6" s="14" t="s">
        <v>55</v>
      </c>
      <c r="J6" s="11" t="n">
        <v>60000</v>
      </c>
      <c r="K6" s="11" t="n">
        <v>0</v>
      </c>
      <c r="L6" s="12" t="s">
        <v>51</v>
      </c>
    </row>
    <row r="7" customFormat="false" ht="15" hidden="false" customHeight="false" outlineLevel="0" collapsed="false">
      <c r="A7" s="7" t="n">
        <v>3</v>
      </c>
      <c r="B7" s="15" t="s">
        <v>3</v>
      </c>
      <c r="C7" s="9" t="s">
        <v>44</v>
      </c>
      <c r="D7" s="9" t="s">
        <v>56</v>
      </c>
      <c r="E7" s="9" t="s">
        <v>57</v>
      </c>
      <c r="F7" s="7" t="s">
        <v>47</v>
      </c>
      <c r="G7" s="10" t="s">
        <v>48</v>
      </c>
      <c r="H7" s="9" t="s">
        <v>49</v>
      </c>
      <c r="I7" s="9" t="s">
        <v>50</v>
      </c>
      <c r="J7" s="11" t="n">
        <v>30000</v>
      </c>
      <c r="K7" s="11" t="n">
        <v>0</v>
      </c>
      <c r="L7" s="7" t="s">
        <v>51</v>
      </c>
    </row>
    <row r="8" customFormat="false" ht="15" hidden="false" customHeight="false" outlineLevel="0" collapsed="false">
      <c r="A8" s="12" t="n">
        <v>4</v>
      </c>
      <c r="B8" s="8" t="s">
        <v>43</v>
      </c>
      <c r="C8" s="14" t="s">
        <v>44</v>
      </c>
      <c r="D8" s="14" t="s">
        <v>58</v>
      </c>
      <c r="E8" s="14" t="s">
        <v>59</v>
      </c>
      <c r="F8" s="12" t="s">
        <v>47</v>
      </c>
      <c r="G8" s="10" t="s">
        <v>48</v>
      </c>
      <c r="H8" s="14" t="s">
        <v>60</v>
      </c>
      <c r="I8" s="14" t="s">
        <v>61</v>
      </c>
      <c r="J8" s="11" t="n">
        <v>45000</v>
      </c>
      <c r="K8" s="11" t="n">
        <v>0</v>
      </c>
      <c r="L8" s="12" t="s">
        <v>51</v>
      </c>
    </row>
    <row r="9" customFormat="false" ht="19.4" hidden="false" customHeight="false" outlineLevel="0" collapsed="false">
      <c r="A9" s="7" t="n">
        <v>5</v>
      </c>
      <c r="B9" s="8" t="s">
        <v>43</v>
      </c>
      <c r="C9" s="9" t="s">
        <v>44</v>
      </c>
      <c r="D9" s="9" t="s">
        <v>62</v>
      </c>
      <c r="E9" s="9" t="s">
        <v>63</v>
      </c>
      <c r="F9" s="7" t="s">
        <v>47</v>
      </c>
      <c r="G9" s="16" t="s">
        <v>64</v>
      </c>
      <c r="H9" s="9" t="s">
        <v>65</v>
      </c>
      <c r="I9" s="9" t="s">
        <v>66</v>
      </c>
      <c r="J9" s="11" t="n">
        <v>15000</v>
      </c>
      <c r="K9" s="11" t="n">
        <v>0</v>
      </c>
      <c r="L9" s="7" t="s">
        <v>67</v>
      </c>
    </row>
    <row r="10" customFormat="false" ht="15" hidden="false" customHeight="false" outlineLevel="0" collapsed="false">
      <c r="A10" s="12" t="n">
        <v>6</v>
      </c>
      <c r="B10" s="15" t="s">
        <v>3</v>
      </c>
      <c r="C10" s="14" t="s">
        <v>68</v>
      </c>
      <c r="D10" s="14" t="s">
        <v>69</v>
      </c>
      <c r="E10" s="14" t="s">
        <v>70</v>
      </c>
      <c r="F10" s="12" t="s">
        <v>71</v>
      </c>
      <c r="G10" s="10" t="s">
        <v>48</v>
      </c>
      <c r="H10" s="14" t="s">
        <v>65</v>
      </c>
      <c r="I10" s="14" t="s">
        <v>72</v>
      </c>
      <c r="J10" s="11" t="n">
        <v>25000</v>
      </c>
      <c r="K10" s="11" t="n">
        <v>3500</v>
      </c>
      <c r="L10" s="12" t="s">
        <v>51</v>
      </c>
    </row>
    <row r="11" customFormat="false" ht="19.4" hidden="false" customHeight="false" outlineLevel="0" collapsed="false">
      <c r="A11" s="7" t="n">
        <v>7</v>
      </c>
      <c r="B11" s="17" t="s">
        <v>50</v>
      </c>
      <c r="C11" s="9" t="s">
        <v>68</v>
      </c>
      <c r="D11" s="9" t="s">
        <v>73</v>
      </c>
      <c r="E11" s="9" t="s">
        <v>74</v>
      </c>
      <c r="F11" s="7" t="s">
        <v>71</v>
      </c>
      <c r="G11" s="16" t="s">
        <v>64</v>
      </c>
      <c r="H11" s="9" t="s">
        <v>65</v>
      </c>
      <c r="I11" s="9" t="s">
        <v>75</v>
      </c>
      <c r="J11" s="11" t="n">
        <v>30000</v>
      </c>
      <c r="K11" s="11" t="n">
        <v>5000</v>
      </c>
      <c r="L11" s="7" t="s">
        <v>67</v>
      </c>
    </row>
    <row r="12" customFormat="false" ht="15" hidden="false" customHeight="false" outlineLevel="0" collapsed="false">
      <c r="A12" s="12" t="n">
        <v>8</v>
      </c>
      <c r="B12" s="13" t="s">
        <v>52</v>
      </c>
      <c r="C12" s="14" t="s">
        <v>68</v>
      </c>
      <c r="D12" s="14" t="s">
        <v>76</v>
      </c>
      <c r="E12" s="14" t="s">
        <v>77</v>
      </c>
      <c r="F12" s="12" t="s">
        <v>47</v>
      </c>
      <c r="G12" s="10" t="s">
        <v>48</v>
      </c>
      <c r="H12" s="14" t="s">
        <v>65</v>
      </c>
      <c r="I12" s="14" t="s">
        <v>78</v>
      </c>
      <c r="J12" s="11" t="n">
        <v>25000</v>
      </c>
      <c r="K12" s="11" t="n">
        <v>1500</v>
      </c>
      <c r="L12" s="12" t="s">
        <v>51</v>
      </c>
    </row>
    <row r="13" customFormat="false" ht="15" hidden="false" customHeight="false" outlineLevel="0" collapsed="false">
      <c r="A13" s="7" t="n">
        <v>9</v>
      </c>
      <c r="B13" s="8" t="s">
        <v>43</v>
      </c>
      <c r="C13" s="9" t="s">
        <v>68</v>
      </c>
      <c r="D13" s="9" t="s">
        <v>79</v>
      </c>
      <c r="E13" s="9" t="s">
        <v>80</v>
      </c>
      <c r="F13" s="7" t="s">
        <v>71</v>
      </c>
      <c r="G13" s="16" t="s">
        <v>64</v>
      </c>
      <c r="H13" s="9" t="s">
        <v>65</v>
      </c>
      <c r="I13" s="9" t="s">
        <v>81</v>
      </c>
      <c r="J13" s="11" t="n">
        <v>0</v>
      </c>
      <c r="K13" s="11" t="n">
        <v>4000</v>
      </c>
      <c r="L13" s="7" t="s">
        <v>67</v>
      </c>
    </row>
    <row r="14" customFormat="false" ht="15" hidden="false" customHeight="false" outlineLevel="0" collapsed="false">
      <c r="A14" s="12" t="n">
        <v>10</v>
      </c>
      <c r="B14" s="15" t="s">
        <v>3</v>
      </c>
      <c r="C14" s="14" t="s">
        <v>68</v>
      </c>
      <c r="D14" s="14" t="s">
        <v>82</v>
      </c>
      <c r="E14" s="14" t="s">
        <v>83</v>
      </c>
      <c r="F14" s="12" t="s">
        <v>71</v>
      </c>
      <c r="G14" s="18" t="s">
        <v>84</v>
      </c>
      <c r="H14" s="14" t="s">
        <v>60</v>
      </c>
      <c r="I14" s="14" t="s">
        <v>85</v>
      </c>
      <c r="J14" s="11" t="n">
        <v>0</v>
      </c>
      <c r="K14" s="11" t="n">
        <v>8000</v>
      </c>
      <c r="L14" s="12" t="s">
        <v>86</v>
      </c>
    </row>
    <row r="15" customFormat="false" ht="15" hidden="false" customHeight="false" outlineLevel="0" collapsed="false">
      <c r="A15" s="7" t="n">
        <v>11</v>
      </c>
      <c r="B15" s="8" t="s">
        <v>43</v>
      </c>
      <c r="C15" s="9" t="s">
        <v>68</v>
      </c>
      <c r="D15" s="9" t="s">
        <v>87</v>
      </c>
      <c r="E15" s="9" t="s">
        <v>88</v>
      </c>
      <c r="F15" s="7" t="s">
        <v>71</v>
      </c>
      <c r="G15" s="18" t="s">
        <v>84</v>
      </c>
      <c r="H15" s="9" t="s">
        <v>65</v>
      </c>
      <c r="I15" s="9" t="s">
        <v>89</v>
      </c>
      <c r="J15" s="11" t="n">
        <v>0</v>
      </c>
      <c r="K15" s="11" t="n">
        <v>9000</v>
      </c>
      <c r="L15" s="7" t="s">
        <v>86</v>
      </c>
    </row>
    <row r="16" customFormat="false" ht="15" hidden="false" customHeight="false" outlineLevel="0" collapsed="false">
      <c r="A16" s="12" t="n">
        <v>12</v>
      </c>
      <c r="B16" s="8" t="s">
        <v>43</v>
      </c>
      <c r="C16" s="14" t="s">
        <v>68</v>
      </c>
      <c r="D16" s="14" t="s">
        <v>90</v>
      </c>
      <c r="E16" s="14" t="s">
        <v>91</v>
      </c>
      <c r="F16" s="12" t="s">
        <v>92</v>
      </c>
      <c r="G16" s="10" t="s">
        <v>48</v>
      </c>
      <c r="H16" s="14" t="s">
        <v>65</v>
      </c>
      <c r="I16" s="14" t="s">
        <v>93</v>
      </c>
      <c r="J16" s="11" t="n">
        <v>5000</v>
      </c>
      <c r="K16" s="11" t="n">
        <v>3000</v>
      </c>
      <c r="L16" s="12" t="s">
        <v>51</v>
      </c>
    </row>
    <row r="17" customFormat="false" ht="15" hidden="false" customHeight="false" outlineLevel="0" collapsed="false">
      <c r="A17" s="7" t="n">
        <v>13</v>
      </c>
      <c r="B17" s="8" t="s">
        <v>43</v>
      </c>
      <c r="C17" s="9" t="s">
        <v>94</v>
      </c>
      <c r="D17" s="9" t="s">
        <v>95</v>
      </c>
      <c r="E17" s="9" t="s">
        <v>96</v>
      </c>
      <c r="F17" s="7" t="s">
        <v>47</v>
      </c>
      <c r="G17" s="10" t="s">
        <v>48</v>
      </c>
      <c r="H17" s="9" t="s">
        <v>97</v>
      </c>
      <c r="I17" s="9" t="s">
        <v>98</v>
      </c>
      <c r="J17" s="11" t="n">
        <v>60000</v>
      </c>
      <c r="K17" s="11" t="n">
        <v>20000</v>
      </c>
      <c r="L17" s="7" t="s">
        <v>51</v>
      </c>
    </row>
    <row r="18" customFormat="false" ht="15" hidden="false" customHeight="false" outlineLevel="0" collapsed="false">
      <c r="A18" s="12" t="n">
        <v>14</v>
      </c>
      <c r="B18" s="8" t="s">
        <v>43</v>
      </c>
      <c r="C18" s="14" t="s">
        <v>94</v>
      </c>
      <c r="D18" s="14" t="s">
        <v>99</v>
      </c>
      <c r="E18" s="14" t="s">
        <v>100</v>
      </c>
      <c r="F18" s="12" t="s">
        <v>47</v>
      </c>
      <c r="G18" s="10" t="s">
        <v>48</v>
      </c>
      <c r="H18" s="14" t="s">
        <v>65</v>
      </c>
      <c r="I18" s="14" t="s">
        <v>101</v>
      </c>
      <c r="J18" s="11" t="n">
        <v>20000</v>
      </c>
      <c r="K18" s="11" t="n">
        <v>15000</v>
      </c>
      <c r="L18" s="12" t="s">
        <v>51</v>
      </c>
    </row>
    <row r="19" customFormat="false" ht="19.4" hidden="false" customHeight="false" outlineLevel="0" collapsed="false">
      <c r="A19" s="7" t="n">
        <v>15</v>
      </c>
      <c r="B19" s="8" t="s">
        <v>43</v>
      </c>
      <c r="C19" s="9" t="s">
        <v>94</v>
      </c>
      <c r="D19" s="9" t="s">
        <v>102</v>
      </c>
      <c r="E19" s="9" t="s">
        <v>103</v>
      </c>
      <c r="F19" s="7" t="s">
        <v>104</v>
      </c>
      <c r="G19" s="10" t="s">
        <v>48</v>
      </c>
      <c r="H19" s="9" t="s">
        <v>49</v>
      </c>
      <c r="I19" s="9" t="s">
        <v>105</v>
      </c>
      <c r="J19" s="11" t="n">
        <v>0</v>
      </c>
      <c r="K19" s="11" t="n">
        <v>6000</v>
      </c>
      <c r="L19" s="7" t="s">
        <v>51</v>
      </c>
    </row>
    <row r="20" customFormat="false" ht="15" hidden="false" customHeight="false" outlineLevel="0" collapsed="false">
      <c r="A20" s="12" t="n">
        <v>16</v>
      </c>
      <c r="B20" s="8" t="s">
        <v>43</v>
      </c>
      <c r="C20" s="14" t="s">
        <v>94</v>
      </c>
      <c r="D20" s="14" t="s">
        <v>106</v>
      </c>
      <c r="E20" s="14" t="s">
        <v>107</v>
      </c>
      <c r="F20" s="12" t="s">
        <v>71</v>
      </c>
      <c r="G20" s="16" t="s">
        <v>64</v>
      </c>
      <c r="H20" s="14" t="s">
        <v>65</v>
      </c>
      <c r="I20" s="14" t="s">
        <v>108</v>
      </c>
      <c r="J20" s="11" t="n">
        <v>0</v>
      </c>
      <c r="K20" s="11" t="n">
        <v>4000</v>
      </c>
      <c r="L20" s="12" t="s">
        <v>67</v>
      </c>
    </row>
    <row r="21" customFormat="false" ht="15" hidden="false" customHeight="false" outlineLevel="0" collapsed="false">
      <c r="A21" s="7" t="n">
        <v>17</v>
      </c>
      <c r="B21" s="15" t="s">
        <v>3</v>
      </c>
      <c r="C21" s="9" t="s">
        <v>94</v>
      </c>
      <c r="D21" s="9" t="s">
        <v>109</v>
      </c>
      <c r="E21" s="9" t="s">
        <v>110</v>
      </c>
      <c r="F21" s="7" t="s">
        <v>47</v>
      </c>
      <c r="G21" s="16" t="s">
        <v>64</v>
      </c>
      <c r="H21" s="9" t="s">
        <v>97</v>
      </c>
      <c r="I21" s="9" t="s">
        <v>111</v>
      </c>
      <c r="J21" s="11" t="n">
        <v>40000</v>
      </c>
      <c r="K21" s="11" t="n">
        <v>25000</v>
      </c>
      <c r="L21" s="7" t="s">
        <v>67</v>
      </c>
    </row>
    <row r="22" customFormat="false" ht="15" hidden="false" customHeight="false" outlineLevel="0" collapsed="false">
      <c r="A22" s="12" t="n">
        <v>18</v>
      </c>
      <c r="B22" s="8" t="s">
        <v>43</v>
      </c>
      <c r="C22" s="14" t="s">
        <v>112</v>
      </c>
      <c r="D22" s="14" t="s">
        <v>113</v>
      </c>
      <c r="E22" s="14" t="s">
        <v>114</v>
      </c>
      <c r="F22" s="12" t="s">
        <v>71</v>
      </c>
      <c r="G22" s="16" t="s">
        <v>64</v>
      </c>
      <c r="H22" s="14" t="s">
        <v>65</v>
      </c>
      <c r="I22" s="14" t="s">
        <v>115</v>
      </c>
      <c r="J22" s="11" t="n">
        <v>0</v>
      </c>
      <c r="K22" s="11" t="n">
        <v>7000</v>
      </c>
      <c r="L22" s="12" t="s">
        <v>67</v>
      </c>
    </row>
    <row r="23" customFormat="false" ht="19.4" hidden="false" customHeight="false" outlineLevel="0" collapsed="false">
      <c r="A23" s="7" t="n">
        <v>19</v>
      </c>
      <c r="B23" s="8" t="s">
        <v>43</v>
      </c>
      <c r="C23" s="9" t="s">
        <v>112</v>
      </c>
      <c r="D23" s="9" t="s">
        <v>116</v>
      </c>
      <c r="E23" s="9" t="s">
        <v>117</v>
      </c>
      <c r="F23" s="7" t="s">
        <v>71</v>
      </c>
      <c r="G23" s="16" t="s">
        <v>64</v>
      </c>
      <c r="H23" s="9" t="s">
        <v>65</v>
      </c>
      <c r="I23" s="9" t="s">
        <v>118</v>
      </c>
      <c r="J23" s="11" t="n">
        <v>0</v>
      </c>
      <c r="K23" s="11" t="n">
        <v>9000</v>
      </c>
      <c r="L23" s="7" t="s">
        <v>67</v>
      </c>
    </row>
    <row r="24" customFormat="false" ht="19.4" hidden="false" customHeight="false" outlineLevel="0" collapsed="false">
      <c r="A24" s="12" t="n">
        <v>20</v>
      </c>
      <c r="B24" s="8" t="s">
        <v>43</v>
      </c>
      <c r="C24" s="14" t="s">
        <v>112</v>
      </c>
      <c r="D24" s="14" t="s">
        <v>119</v>
      </c>
      <c r="E24" s="14" t="s">
        <v>120</v>
      </c>
      <c r="F24" s="12" t="s">
        <v>71</v>
      </c>
      <c r="G24" s="10" t="s">
        <v>48</v>
      </c>
      <c r="H24" s="14" t="s">
        <v>49</v>
      </c>
      <c r="I24" s="14" t="s">
        <v>121</v>
      </c>
      <c r="J24" s="11" t="n">
        <v>0</v>
      </c>
      <c r="K24" s="11" t="n">
        <v>6000</v>
      </c>
      <c r="L24" s="12" t="s">
        <v>51</v>
      </c>
    </row>
    <row r="25" customFormat="false" ht="15" hidden="false" customHeight="false" outlineLevel="0" collapsed="false">
      <c r="A25" s="7" t="n">
        <v>21</v>
      </c>
      <c r="B25" s="8" t="s">
        <v>43</v>
      </c>
      <c r="C25" s="9" t="s">
        <v>112</v>
      </c>
      <c r="D25" s="9" t="s">
        <v>122</v>
      </c>
      <c r="E25" s="9" t="s">
        <v>123</v>
      </c>
      <c r="F25" s="7" t="s">
        <v>71</v>
      </c>
      <c r="G25" s="18" t="s">
        <v>84</v>
      </c>
      <c r="H25" s="9" t="s">
        <v>65</v>
      </c>
      <c r="I25" s="9" t="s">
        <v>124</v>
      </c>
      <c r="J25" s="11" t="n">
        <v>0</v>
      </c>
      <c r="K25" s="11" t="n">
        <v>5000</v>
      </c>
      <c r="L25" s="7" t="s">
        <v>86</v>
      </c>
    </row>
    <row r="26" customFormat="false" ht="15" hidden="false" customHeight="false" outlineLevel="0" collapsed="false">
      <c r="A26" s="12" t="n">
        <v>22</v>
      </c>
      <c r="B26" s="8" t="s">
        <v>43</v>
      </c>
      <c r="C26" s="14" t="s">
        <v>112</v>
      </c>
      <c r="D26" s="14" t="s">
        <v>125</v>
      </c>
      <c r="E26" s="14" t="s">
        <v>126</v>
      </c>
      <c r="F26" s="12" t="s">
        <v>71</v>
      </c>
      <c r="G26" s="10" t="s">
        <v>48</v>
      </c>
      <c r="H26" s="14" t="s">
        <v>65</v>
      </c>
      <c r="I26" s="14" t="s">
        <v>127</v>
      </c>
      <c r="J26" s="11" t="n">
        <v>0</v>
      </c>
      <c r="K26" s="11" t="n">
        <v>6000</v>
      </c>
      <c r="L26" s="12" t="s">
        <v>51</v>
      </c>
    </row>
    <row r="27" customFormat="false" ht="15" hidden="false" customHeight="false" outlineLevel="0" collapsed="false">
      <c r="A27" s="7" t="n">
        <v>23</v>
      </c>
      <c r="B27" s="15" t="s">
        <v>3</v>
      </c>
      <c r="C27" s="9" t="s">
        <v>128</v>
      </c>
      <c r="D27" s="9" t="s">
        <v>129</v>
      </c>
      <c r="E27" s="9" t="s">
        <v>130</v>
      </c>
      <c r="F27" s="7" t="s">
        <v>131</v>
      </c>
      <c r="G27" s="10" t="s">
        <v>48</v>
      </c>
      <c r="H27" s="9" t="s">
        <v>65</v>
      </c>
      <c r="I27" s="9" t="s">
        <v>132</v>
      </c>
      <c r="J27" s="11" t="n">
        <v>0</v>
      </c>
      <c r="K27" s="11" t="n">
        <v>150000</v>
      </c>
      <c r="L27" s="7" t="s">
        <v>51</v>
      </c>
    </row>
    <row r="28" customFormat="false" ht="15" hidden="false" customHeight="false" outlineLevel="0" collapsed="false">
      <c r="A28" s="12" t="n">
        <v>24</v>
      </c>
      <c r="B28" s="15" t="s">
        <v>3</v>
      </c>
      <c r="C28" s="14" t="s">
        <v>128</v>
      </c>
      <c r="D28" s="14" t="s">
        <v>133</v>
      </c>
      <c r="E28" s="14" t="s">
        <v>134</v>
      </c>
      <c r="F28" s="12" t="s">
        <v>131</v>
      </c>
      <c r="G28" s="16" t="s">
        <v>64</v>
      </c>
      <c r="H28" s="14" t="s">
        <v>65</v>
      </c>
      <c r="I28" s="14" t="s">
        <v>135</v>
      </c>
      <c r="J28" s="11" t="n">
        <v>0</v>
      </c>
      <c r="K28" s="11" t="n">
        <v>80000</v>
      </c>
      <c r="L28" s="12" t="s">
        <v>67</v>
      </c>
    </row>
    <row r="29" customFormat="false" ht="15" hidden="false" customHeight="false" outlineLevel="0" collapsed="false">
      <c r="A29" s="7" t="n">
        <v>25</v>
      </c>
      <c r="B29" s="17" t="s">
        <v>50</v>
      </c>
      <c r="C29" s="9" t="s">
        <v>128</v>
      </c>
      <c r="D29" s="9" t="s">
        <v>136</v>
      </c>
      <c r="E29" s="9" t="s">
        <v>137</v>
      </c>
      <c r="F29" s="7" t="s">
        <v>131</v>
      </c>
      <c r="G29" s="16" t="s">
        <v>64</v>
      </c>
      <c r="H29" s="9" t="s">
        <v>65</v>
      </c>
      <c r="I29" s="9" t="s">
        <v>138</v>
      </c>
      <c r="J29" s="11" t="n">
        <v>0</v>
      </c>
      <c r="K29" s="11" t="n">
        <v>80000</v>
      </c>
      <c r="L29" s="7" t="s">
        <v>67</v>
      </c>
    </row>
    <row r="30" customFormat="false" ht="15" hidden="false" customHeight="false" outlineLevel="0" collapsed="false">
      <c r="A30" s="12" t="n">
        <v>26</v>
      </c>
      <c r="B30" s="13" t="s">
        <v>52</v>
      </c>
      <c r="C30" s="14" t="s">
        <v>128</v>
      </c>
      <c r="D30" s="14" t="s">
        <v>139</v>
      </c>
      <c r="E30" s="14" t="s">
        <v>140</v>
      </c>
      <c r="F30" s="12" t="s">
        <v>131</v>
      </c>
      <c r="G30" s="16" t="s">
        <v>64</v>
      </c>
      <c r="H30" s="14" t="s">
        <v>65</v>
      </c>
      <c r="I30" s="14" t="s">
        <v>141</v>
      </c>
      <c r="J30" s="11" t="n">
        <v>0</v>
      </c>
      <c r="K30" s="11" t="n">
        <v>40000</v>
      </c>
      <c r="L30" s="12" t="s">
        <v>67</v>
      </c>
    </row>
    <row r="31" customFormat="false" ht="15" hidden="false" customHeight="false" outlineLevel="0" collapsed="false">
      <c r="A31" s="7" t="n">
        <v>27</v>
      </c>
      <c r="B31" s="8" t="s">
        <v>43</v>
      </c>
      <c r="C31" s="9" t="s">
        <v>128</v>
      </c>
      <c r="D31" s="9" t="s">
        <v>142</v>
      </c>
      <c r="E31" s="9" t="s">
        <v>143</v>
      </c>
      <c r="F31" s="7" t="s">
        <v>71</v>
      </c>
      <c r="G31" s="16" t="s">
        <v>64</v>
      </c>
      <c r="H31" s="9" t="s">
        <v>65</v>
      </c>
      <c r="I31" s="9" t="s">
        <v>144</v>
      </c>
      <c r="J31" s="11" t="n">
        <v>0</v>
      </c>
      <c r="K31" s="11" t="n">
        <v>9000</v>
      </c>
      <c r="L31" s="7" t="s">
        <v>67</v>
      </c>
    </row>
    <row r="32" customFormat="false" ht="15" hidden="false" customHeight="false" outlineLevel="0" collapsed="false">
      <c r="A32" s="12" t="n">
        <v>28</v>
      </c>
      <c r="B32" s="15" t="s">
        <v>3</v>
      </c>
      <c r="C32" s="14" t="s">
        <v>128</v>
      </c>
      <c r="D32" s="14" t="s">
        <v>145</v>
      </c>
      <c r="E32" s="14" t="s">
        <v>146</v>
      </c>
      <c r="F32" s="12" t="s">
        <v>71</v>
      </c>
      <c r="G32" s="16" t="s">
        <v>64</v>
      </c>
      <c r="H32" s="14" t="s">
        <v>60</v>
      </c>
      <c r="I32" s="14" t="s">
        <v>147</v>
      </c>
      <c r="J32" s="11" t="n">
        <v>0</v>
      </c>
      <c r="K32" s="11" t="n">
        <v>8000</v>
      </c>
      <c r="L32" s="12" t="s">
        <v>67</v>
      </c>
    </row>
    <row r="33" customFormat="false" ht="15" hidden="false" customHeight="false" outlineLevel="0" collapsed="false">
      <c r="A33" s="7" t="n">
        <v>29</v>
      </c>
      <c r="B33" s="8" t="s">
        <v>43</v>
      </c>
      <c r="C33" s="9" t="s">
        <v>128</v>
      </c>
      <c r="D33" s="9" t="s">
        <v>148</v>
      </c>
      <c r="E33" s="9" t="s">
        <v>149</v>
      </c>
      <c r="F33" s="7" t="s">
        <v>131</v>
      </c>
      <c r="G33" s="18" t="s">
        <v>84</v>
      </c>
      <c r="H33" s="9" t="s">
        <v>65</v>
      </c>
      <c r="I33" s="9" t="s">
        <v>150</v>
      </c>
      <c r="J33" s="11" t="n">
        <v>0</v>
      </c>
      <c r="K33" s="11" t="n">
        <v>40000</v>
      </c>
      <c r="L33" s="7" t="s">
        <v>86</v>
      </c>
    </row>
    <row r="34" customFormat="false" ht="15" hidden="false" customHeight="false" outlineLevel="0" collapsed="false">
      <c r="A34" s="12" t="n">
        <v>30</v>
      </c>
      <c r="B34" s="15" t="s">
        <v>3</v>
      </c>
      <c r="C34" s="14" t="s">
        <v>151</v>
      </c>
      <c r="D34" s="14" t="s">
        <v>152</v>
      </c>
      <c r="E34" s="14" t="s">
        <v>153</v>
      </c>
      <c r="F34" s="12" t="s">
        <v>71</v>
      </c>
      <c r="G34" s="10" t="s">
        <v>48</v>
      </c>
      <c r="H34" s="14" t="s">
        <v>65</v>
      </c>
      <c r="I34" s="14" t="s">
        <v>154</v>
      </c>
      <c r="J34" s="11" t="n">
        <v>0</v>
      </c>
      <c r="K34" s="11" t="n">
        <v>9000</v>
      </c>
      <c r="L34" s="12" t="s">
        <v>51</v>
      </c>
    </row>
    <row r="35" customFormat="false" ht="15" hidden="false" customHeight="false" outlineLevel="0" collapsed="false">
      <c r="A35" s="7" t="n">
        <v>31</v>
      </c>
      <c r="B35" s="8" t="s">
        <v>43</v>
      </c>
      <c r="C35" s="9" t="s">
        <v>151</v>
      </c>
      <c r="D35" s="9" t="s">
        <v>155</v>
      </c>
      <c r="E35" s="9" t="s">
        <v>156</v>
      </c>
      <c r="F35" s="7" t="s">
        <v>71</v>
      </c>
      <c r="G35" s="10" t="s">
        <v>48</v>
      </c>
      <c r="H35" s="9" t="s">
        <v>60</v>
      </c>
      <c r="I35" s="9" t="s">
        <v>157</v>
      </c>
      <c r="J35" s="11" t="n">
        <v>5000</v>
      </c>
      <c r="K35" s="11" t="n">
        <v>6000</v>
      </c>
      <c r="L35" s="7" t="s">
        <v>51</v>
      </c>
    </row>
    <row r="36" customFormat="false" ht="15" hidden="false" customHeight="false" outlineLevel="0" collapsed="false">
      <c r="A36" s="12" t="n">
        <v>32</v>
      </c>
      <c r="B36" s="8" t="s">
        <v>43</v>
      </c>
      <c r="C36" s="14" t="s">
        <v>151</v>
      </c>
      <c r="D36" s="14" t="s">
        <v>158</v>
      </c>
      <c r="E36" s="14" t="s">
        <v>159</v>
      </c>
      <c r="F36" s="12" t="s">
        <v>71</v>
      </c>
      <c r="G36" s="16" t="s">
        <v>64</v>
      </c>
      <c r="H36" s="14" t="s">
        <v>60</v>
      </c>
      <c r="I36" s="14" t="s">
        <v>160</v>
      </c>
      <c r="J36" s="11" t="n">
        <v>0</v>
      </c>
      <c r="K36" s="11" t="n">
        <v>4000</v>
      </c>
      <c r="L36" s="12" t="s">
        <v>67</v>
      </c>
    </row>
    <row r="37" customFormat="false" ht="15" hidden="false" customHeight="false" outlineLevel="0" collapsed="false">
      <c r="A37" s="7" t="n">
        <v>33</v>
      </c>
      <c r="B37" s="8" t="s">
        <v>43</v>
      </c>
      <c r="C37" s="9" t="s">
        <v>151</v>
      </c>
      <c r="D37" s="9" t="s">
        <v>161</v>
      </c>
      <c r="E37" s="9" t="s">
        <v>162</v>
      </c>
      <c r="F37" s="7" t="s">
        <v>71</v>
      </c>
      <c r="G37" s="18" t="s">
        <v>84</v>
      </c>
      <c r="H37" s="9" t="s">
        <v>60</v>
      </c>
      <c r="I37" s="9" t="s">
        <v>163</v>
      </c>
      <c r="J37" s="11" t="n">
        <v>0</v>
      </c>
      <c r="K37" s="11" t="n">
        <v>6000</v>
      </c>
      <c r="L37" s="7" t="s">
        <v>86</v>
      </c>
    </row>
    <row r="38" customFormat="false" ht="15" hidden="false" customHeight="false" outlineLevel="0" collapsed="false">
      <c r="A38" s="12" t="n">
        <v>34</v>
      </c>
      <c r="B38" s="8" t="s">
        <v>43</v>
      </c>
      <c r="C38" s="14" t="s">
        <v>151</v>
      </c>
      <c r="D38" s="14" t="s">
        <v>164</v>
      </c>
      <c r="E38" s="14" t="s">
        <v>165</v>
      </c>
      <c r="F38" s="12" t="s">
        <v>71</v>
      </c>
      <c r="G38" s="16" t="s">
        <v>64</v>
      </c>
      <c r="H38" s="14" t="s">
        <v>60</v>
      </c>
      <c r="I38" s="14" t="s">
        <v>166</v>
      </c>
      <c r="J38" s="11" t="n">
        <v>0</v>
      </c>
      <c r="K38" s="11" t="n">
        <v>5000</v>
      </c>
      <c r="L38" s="12" t="s">
        <v>67</v>
      </c>
    </row>
    <row r="39" customFormat="false" ht="15" hidden="false" customHeight="false" outlineLevel="0" collapsed="false">
      <c r="A39" s="7" t="n">
        <v>35</v>
      </c>
      <c r="B39" s="8" t="s">
        <v>43</v>
      </c>
      <c r="C39" s="9" t="s">
        <v>151</v>
      </c>
      <c r="D39" s="9" t="s">
        <v>167</v>
      </c>
      <c r="E39" s="9" t="s">
        <v>168</v>
      </c>
      <c r="F39" s="7" t="s">
        <v>71</v>
      </c>
      <c r="G39" s="18" t="s">
        <v>84</v>
      </c>
      <c r="H39" s="9" t="s">
        <v>60</v>
      </c>
      <c r="I39" s="9" t="s">
        <v>169</v>
      </c>
      <c r="J39" s="11" t="n">
        <v>0</v>
      </c>
      <c r="K39" s="11" t="n">
        <v>6000</v>
      </c>
      <c r="L39" s="7" t="s">
        <v>86</v>
      </c>
    </row>
    <row r="40" customFormat="false" ht="15" hidden="false" customHeight="false" outlineLevel="0" collapsed="false">
      <c r="A40" s="12" t="n">
        <v>36</v>
      </c>
      <c r="B40" s="8" t="s">
        <v>43</v>
      </c>
      <c r="C40" s="14" t="s">
        <v>170</v>
      </c>
      <c r="D40" s="14" t="s">
        <v>171</v>
      </c>
      <c r="E40" s="14" t="s">
        <v>172</v>
      </c>
      <c r="F40" s="12" t="s">
        <v>71</v>
      </c>
      <c r="G40" s="16" t="s">
        <v>64</v>
      </c>
      <c r="H40" s="14" t="s">
        <v>65</v>
      </c>
      <c r="I40" s="14" t="s">
        <v>173</v>
      </c>
      <c r="J40" s="11" t="n">
        <v>0</v>
      </c>
      <c r="K40" s="11" t="n">
        <v>6000</v>
      </c>
      <c r="L40" s="12" t="s">
        <v>67</v>
      </c>
    </row>
    <row r="41" customFormat="false" ht="15" hidden="false" customHeight="false" outlineLevel="0" collapsed="false">
      <c r="A41" s="7" t="n">
        <v>37</v>
      </c>
      <c r="B41" s="8" t="s">
        <v>43</v>
      </c>
      <c r="C41" s="9" t="s">
        <v>170</v>
      </c>
      <c r="D41" s="9" t="s">
        <v>174</v>
      </c>
      <c r="E41" s="9" t="s">
        <v>175</v>
      </c>
      <c r="F41" s="7" t="s">
        <v>71</v>
      </c>
      <c r="G41" s="16" t="s">
        <v>64</v>
      </c>
      <c r="H41" s="9" t="s">
        <v>65</v>
      </c>
      <c r="I41" s="9" t="s">
        <v>176</v>
      </c>
      <c r="J41" s="11" t="n">
        <v>0</v>
      </c>
      <c r="K41" s="11" t="n">
        <v>4000</v>
      </c>
      <c r="L41" s="7" t="s">
        <v>67</v>
      </c>
    </row>
    <row r="42" customFormat="false" ht="15" hidden="false" customHeight="false" outlineLevel="0" collapsed="false">
      <c r="A42" s="12" t="n">
        <v>38</v>
      </c>
      <c r="B42" s="8" t="s">
        <v>43</v>
      </c>
      <c r="C42" s="14" t="s">
        <v>170</v>
      </c>
      <c r="D42" s="14" t="s">
        <v>177</v>
      </c>
      <c r="E42" s="14" t="s">
        <v>178</v>
      </c>
      <c r="F42" s="12" t="s">
        <v>179</v>
      </c>
      <c r="G42" s="18" t="s">
        <v>84</v>
      </c>
      <c r="H42" s="14" t="s">
        <v>65</v>
      </c>
      <c r="I42" s="14" t="s">
        <v>180</v>
      </c>
      <c r="J42" s="11" t="n">
        <v>0</v>
      </c>
      <c r="K42" s="11" t="n">
        <v>500</v>
      </c>
      <c r="L42" s="12" t="s">
        <v>86</v>
      </c>
    </row>
    <row r="43" customFormat="false" ht="15" hidden="false" customHeight="false" outlineLevel="0" collapsed="false">
      <c r="A43" s="7" t="n">
        <v>39</v>
      </c>
      <c r="B43" s="8" t="s">
        <v>43</v>
      </c>
      <c r="C43" s="9" t="s">
        <v>170</v>
      </c>
      <c r="D43" s="9" t="s">
        <v>181</v>
      </c>
      <c r="E43" s="9" t="s">
        <v>182</v>
      </c>
      <c r="F43" s="7" t="s">
        <v>71</v>
      </c>
      <c r="G43" s="18" t="s">
        <v>84</v>
      </c>
      <c r="H43" s="9" t="s">
        <v>65</v>
      </c>
      <c r="I43" s="9" t="s">
        <v>173</v>
      </c>
      <c r="J43" s="11" t="n">
        <v>0</v>
      </c>
      <c r="K43" s="11" t="n">
        <v>0</v>
      </c>
      <c r="L43" s="7" t="s">
        <v>86</v>
      </c>
    </row>
    <row r="44" customFormat="false" ht="15" hidden="false" customHeight="false" outlineLevel="0" collapsed="false">
      <c r="A44" s="12" t="n">
        <v>40</v>
      </c>
      <c r="B44" s="8" t="s">
        <v>43</v>
      </c>
      <c r="C44" s="14" t="s">
        <v>170</v>
      </c>
      <c r="D44" s="14" t="s">
        <v>183</v>
      </c>
      <c r="E44" s="14" t="s">
        <v>184</v>
      </c>
      <c r="F44" s="12" t="s">
        <v>71</v>
      </c>
      <c r="G44" s="16" t="s">
        <v>64</v>
      </c>
      <c r="H44" s="14" t="s">
        <v>65</v>
      </c>
      <c r="I44" s="14" t="s">
        <v>185</v>
      </c>
      <c r="J44" s="11" t="n">
        <v>0</v>
      </c>
      <c r="K44" s="11" t="n">
        <v>6000</v>
      </c>
      <c r="L44" s="12" t="s">
        <v>67</v>
      </c>
    </row>
    <row r="45" customFormat="false" ht="15" hidden="false" customHeight="false" outlineLevel="0" collapsed="false">
      <c r="A45" s="7" t="n">
        <v>41</v>
      </c>
      <c r="B45" s="8" t="s">
        <v>43</v>
      </c>
      <c r="C45" s="9" t="s">
        <v>186</v>
      </c>
      <c r="D45" s="9" t="s">
        <v>187</v>
      </c>
      <c r="E45" s="9" t="s">
        <v>188</v>
      </c>
      <c r="F45" s="7" t="s">
        <v>71</v>
      </c>
      <c r="G45" s="10" t="s">
        <v>48</v>
      </c>
      <c r="H45" s="9" t="s">
        <v>65</v>
      </c>
      <c r="I45" s="9" t="s">
        <v>189</v>
      </c>
      <c r="J45" s="11" t="n">
        <v>6000</v>
      </c>
      <c r="K45" s="11" t="n">
        <v>3000</v>
      </c>
      <c r="L45" s="7" t="s">
        <v>51</v>
      </c>
    </row>
    <row r="46" customFormat="false" ht="15" hidden="false" customHeight="false" outlineLevel="0" collapsed="false">
      <c r="A46" s="12" t="n">
        <v>42</v>
      </c>
      <c r="B46" s="8" t="s">
        <v>43</v>
      </c>
      <c r="C46" s="14" t="s">
        <v>186</v>
      </c>
      <c r="D46" s="14" t="s">
        <v>190</v>
      </c>
      <c r="E46" s="14" t="s">
        <v>191</v>
      </c>
      <c r="F46" s="12" t="s">
        <v>71</v>
      </c>
      <c r="G46" s="16" t="s">
        <v>64</v>
      </c>
      <c r="H46" s="14" t="s">
        <v>65</v>
      </c>
      <c r="I46" s="14" t="s">
        <v>192</v>
      </c>
      <c r="J46" s="11" t="n">
        <v>0</v>
      </c>
      <c r="K46" s="11" t="n">
        <v>4000</v>
      </c>
      <c r="L46" s="12" t="s">
        <v>67</v>
      </c>
    </row>
    <row r="47" customFormat="false" ht="15" hidden="false" customHeight="false" outlineLevel="0" collapsed="false">
      <c r="A47" s="7" t="n">
        <v>43</v>
      </c>
      <c r="B47" s="8" t="s">
        <v>43</v>
      </c>
      <c r="C47" s="9" t="s">
        <v>186</v>
      </c>
      <c r="D47" s="9" t="s">
        <v>193</v>
      </c>
      <c r="E47" s="9" t="s">
        <v>194</v>
      </c>
      <c r="F47" s="7" t="s">
        <v>71</v>
      </c>
      <c r="G47" s="16" t="s">
        <v>64</v>
      </c>
      <c r="H47" s="9" t="s">
        <v>65</v>
      </c>
      <c r="I47" s="9" t="s">
        <v>195</v>
      </c>
      <c r="J47" s="11" t="n">
        <v>0</v>
      </c>
      <c r="K47" s="11" t="n">
        <v>2000</v>
      </c>
      <c r="L47" s="7" t="s">
        <v>67</v>
      </c>
    </row>
    <row r="48" customFormat="false" ht="15" hidden="false" customHeight="false" outlineLevel="0" collapsed="false">
      <c r="A48" s="12" t="n">
        <v>44</v>
      </c>
      <c r="B48" s="8" t="s">
        <v>43</v>
      </c>
      <c r="C48" s="14" t="s">
        <v>186</v>
      </c>
      <c r="D48" s="14" t="s">
        <v>196</v>
      </c>
      <c r="E48" s="14" t="s">
        <v>197</v>
      </c>
      <c r="F48" s="12" t="s">
        <v>71</v>
      </c>
      <c r="G48" s="18" t="s">
        <v>84</v>
      </c>
      <c r="H48" s="14" t="s">
        <v>65</v>
      </c>
      <c r="I48" s="14" t="s">
        <v>198</v>
      </c>
      <c r="J48" s="11" t="n">
        <v>0</v>
      </c>
      <c r="K48" s="11" t="n">
        <v>4000</v>
      </c>
      <c r="L48" s="12" t="s">
        <v>86</v>
      </c>
    </row>
    <row r="49" customFormat="false" ht="15" hidden="false" customHeight="false" outlineLevel="0" collapsed="false">
      <c r="A49" s="7" t="n">
        <v>45</v>
      </c>
      <c r="B49" s="8" t="s">
        <v>43</v>
      </c>
      <c r="C49" s="9" t="s">
        <v>186</v>
      </c>
      <c r="D49" s="9" t="s">
        <v>199</v>
      </c>
      <c r="E49" s="9" t="s">
        <v>200</v>
      </c>
      <c r="F49" s="7" t="s">
        <v>179</v>
      </c>
      <c r="G49" s="16" t="s">
        <v>64</v>
      </c>
      <c r="H49" s="9" t="s">
        <v>65</v>
      </c>
      <c r="I49" s="9" t="s">
        <v>201</v>
      </c>
      <c r="J49" s="11" t="n">
        <v>0</v>
      </c>
      <c r="K49" s="11" t="n">
        <v>1000</v>
      </c>
      <c r="L49" s="7" t="s">
        <v>67</v>
      </c>
    </row>
    <row r="50" customFormat="false" ht="15" hidden="false" customHeight="false" outlineLevel="0" collapsed="false">
      <c r="A50" s="12" t="n">
        <v>46</v>
      </c>
      <c r="B50" s="15" t="s">
        <v>3</v>
      </c>
      <c r="C50" s="14" t="s">
        <v>202</v>
      </c>
      <c r="D50" s="14" t="s">
        <v>203</v>
      </c>
      <c r="E50" s="14" t="s">
        <v>204</v>
      </c>
      <c r="F50" s="12" t="s">
        <v>47</v>
      </c>
      <c r="G50" s="10" t="s">
        <v>48</v>
      </c>
      <c r="H50" s="14" t="s">
        <v>60</v>
      </c>
      <c r="I50" s="14" t="s">
        <v>205</v>
      </c>
      <c r="J50" s="11" t="n">
        <v>0</v>
      </c>
      <c r="K50" s="11" t="n">
        <v>0</v>
      </c>
      <c r="L50" s="12" t="s">
        <v>51</v>
      </c>
    </row>
    <row r="51" customFormat="false" ht="15" hidden="false" customHeight="false" outlineLevel="0" collapsed="false">
      <c r="A51" s="7" t="n">
        <v>47</v>
      </c>
      <c r="B51" s="15" t="s">
        <v>3</v>
      </c>
      <c r="C51" s="9" t="s">
        <v>202</v>
      </c>
      <c r="D51" s="9" t="s">
        <v>206</v>
      </c>
      <c r="E51" s="9" t="s">
        <v>207</v>
      </c>
      <c r="F51" s="7" t="s">
        <v>47</v>
      </c>
      <c r="G51" s="10" t="s">
        <v>48</v>
      </c>
      <c r="H51" s="9" t="s">
        <v>97</v>
      </c>
      <c r="I51" s="9" t="s">
        <v>208</v>
      </c>
      <c r="J51" s="11" t="n">
        <v>0</v>
      </c>
      <c r="K51" s="11" t="n">
        <v>0</v>
      </c>
      <c r="L51" s="7" t="s">
        <v>51</v>
      </c>
    </row>
    <row r="52" customFormat="false" ht="15" hidden="false" customHeight="false" outlineLevel="0" collapsed="false">
      <c r="A52" s="12" t="n">
        <v>48</v>
      </c>
      <c r="B52" s="17" t="s">
        <v>50</v>
      </c>
      <c r="C52" s="14" t="s">
        <v>202</v>
      </c>
      <c r="D52" s="14" t="s">
        <v>209</v>
      </c>
      <c r="E52" s="14" t="s">
        <v>210</v>
      </c>
      <c r="F52" s="12" t="s">
        <v>47</v>
      </c>
      <c r="G52" s="10" t="s">
        <v>48</v>
      </c>
      <c r="H52" s="14" t="s">
        <v>60</v>
      </c>
      <c r="I52" s="14" t="s">
        <v>211</v>
      </c>
      <c r="J52" s="11" t="n">
        <v>0</v>
      </c>
      <c r="K52" s="11" t="n">
        <v>0</v>
      </c>
      <c r="L52" s="12" t="s">
        <v>51</v>
      </c>
    </row>
    <row r="53" customFormat="false" ht="15" hidden="false" customHeight="false" outlineLevel="0" collapsed="false">
      <c r="A53" s="7" t="n">
        <v>49</v>
      </c>
      <c r="B53" s="8" t="s">
        <v>43</v>
      </c>
      <c r="C53" s="9" t="s">
        <v>202</v>
      </c>
      <c r="D53" s="9" t="s">
        <v>212</v>
      </c>
      <c r="E53" s="9" t="s">
        <v>213</v>
      </c>
      <c r="F53" s="7" t="s">
        <v>47</v>
      </c>
      <c r="G53" s="16" t="s">
        <v>64</v>
      </c>
      <c r="H53" s="9" t="s">
        <v>60</v>
      </c>
      <c r="I53" s="9" t="s">
        <v>214</v>
      </c>
      <c r="J53" s="11" t="n">
        <v>0</v>
      </c>
      <c r="K53" s="11" t="n">
        <v>0</v>
      </c>
      <c r="L53" s="7" t="s">
        <v>67</v>
      </c>
    </row>
    <row r="54" customFormat="false" ht="15" hidden="false" customHeight="false" outlineLevel="0" collapsed="false">
      <c r="A54" s="12" t="n">
        <v>50</v>
      </c>
      <c r="B54" s="15" t="s">
        <v>3</v>
      </c>
      <c r="C54" s="14" t="s">
        <v>202</v>
      </c>
      <c r="D54" s="14" t="s">
        <v>215</v>
      </c>
      <c r="E54" s="14" t="s">
        <v>216</v>
      </c>
      <c r="F54" s="12" t="s">
        <v>47</v>
      </c>
      <c r="G54" s="16" t="s">
        <v>64</v>
      </c>
      <c r="H54" s="14" t="s">
        <v>49</v>
      </c>
      <c r="I54" s="14" t="s">
        <v>217</v>
      </c>
      <c r="J54" s="11" t="n">
        <v>10000</v>
      </c>
      <c r="K54" s="11" t="n">
        <v>0</v>
      </c>
      <c r="L54" s="12" t="s">
        <v>67</v>
      </c>
    </row>
    <row r="55" customFormat="false" ht="15" hidden="false" customHeight="false" outlineLevel="0" collapsed="false">
      <c r="A55" s="7" t="n">
        <v>51</v>
      </c>
      <c r="B55" s="8" t="s">
        <v>43</v>
      </c>
      <c r="C55" s="9" t="s">
        <v>202</v>
      </c>
      <c r="D55" s="9" t="s">
        <v>218</v>
      </c>
      <c r="E55" s="9" t="s">
        <v>219</v>
      </c>
      <c r="F55" s="7" t="s">
        <v>47</v>
      </c>
      <c r="G55" s="19" t="s">
        <v>220</v>
      </c>
      <c r="H55" s="9" t="s">
        <v>60</v>
      </c>
      <c r="I55" s="9" t="s">
        <v>221</v>
      </c>
      <c r="J55" s="11" t="n">
        <v>0</v>
      </c>
      <c r="K55" s="11" t="n">
        <v>0</v>
      </c>
      <c r="L55" s="7" t="s">
        <v>86</v>
      </c>
    </row>
    <row r="56" customFormat="false" ht="15" hidden="false" customHeight="false" outlineLevel="0" collapsed="false">
      <c r="A56" s="12" t="n">
        <v>52</v>
      </c>
      <c r="B56" s="8" t="s">
        <v>43</v>
      </c>
      <c r="C56" s="14" t="s">
        <v>222</v>
      </c>
      <c r="D56" s="14" t="s">
        <v>223</v>
      </c>
      <c r="E56" s="14" t="s">
        <v>224</v>
      </c>
      <c r="F56" s="12" t="s">
        <v>47</v>
      </c>
      <c r="G56" s="10" t="s">
        <v>48</v>
      </c>
      <c r="H56" s="14" t="s">
        <v>49</v>
      </c>
      <c r="I56" s="14" t="s">
        <v>225</v>
      </c>
      <c r="J56" s="11" t="n">
        <v>35000</v>
      </c>
      <c r="K56" s="11" t="n">
        <v>25000</v>
      </c>
      <c r="L56" s="12" t="s">
        <v>51</v>
      </c>
    </row>
    <row r="57" customFormat="false" ht="15" hidden="false" customHeight="false" outlineLevel="0" collapsed="false">
      <c r="A57" s="7" t="n">
        <v>53</v>
      </c>
      <c r="B57" s="17" t="s">
        <v>50</v>
      </c>
      <c r="C57" s="9" t="s">
        <v>222</v>
      </c>
      <c r="D57" s="9" t="s">
        <v>226</v>
      </c>
      <c r="E57" s="9" t="s">
        <v>227</v>
      </c>
      <c r="F57" s="7" t="s">
        <v>47</v>
      </c>
      <c r="G57" s="10" t="s">
        <v>48</v>
      </c>
      <c r="H57" s="9" t="s">
        <v>49</v>
      </c>
      <c r="I57" s="9" t="s">
        <v>228</v>
      </c>
      <c r="J57" s="11" t="n">
        <v>20000</v>
      </c>
      <c r="K57" s="11" t="n">
        <v>0</v>
      </c>
      <c r="L57" s="7" t="s">
        <v>51</v>
      </c>
    </row>
    <row r="58" customFormat="false" ht="15" hidden="false" customHeight="false" outlineLevel="0" collapsed="false">
      <c r="A58" s="12" t="n">
        <v>54</v>
      </c>
      <c r="B58" s="8" t="s">
        <v>43</v>
      </c>
      <c r="C58" s="14" t="s">
        <v>222</v>
      </c>
      <c r="D58" s="14" t="s">
        <v>229</v>
      </c>
      <c r="E58" s="14" t="s">
        <v>230</v>
      </c>
      <c r="F58" s="12" t="s">
        <v>47</v>
      </c>
      <c r="G58" s="16" t="s">
        <v>64</v>
      </c>
      <c r="H58" s="14" t="s">
        <v>49</v>
      </c>
      <c r="I58" s="14" t="s">
        <v>231</v>
      </c>
      <c r="J58" s="11" t="n">
        <v>0</v>
      </c>
      <c r="K58" s="11" t="n">
        <v>8000</v>
      </c>
      <c r="L58" s="12" t="s">
        <v>67</v>
      </c>
    </row>
    <row r="59" customFormat="false" ht="15" hidden="false" customHeight="false" outlineLevel="0" collapsed="false">
      <c r="A59" s="7" t="n">
        <v>55</v>
      </c>
      <c r="B59" s="8" t="s">
        <v>43</v>
      </c>
      <c r="C59" s="9" t="s">
        <v>222</v>
      </c>
      <c r="D59" s="9" t="s">
        <v>232</v>
      </c>
      <c r="E59" s="9" t="s">
        <v>233</v>
      </c>
      <c r="F59" s="7" t="s">
        <v>47</v>
      </c>
      <c r="G59" s="18" t="s">
        <v>84</v>
      </c>
      <c r="H59" s="9" t="s">
        <v>49</v>
      </c>
      <c r="I59" s="9" t="s">
        <v>234</v>
      </c>
      <c r="J59" s="11" t="n">
        <v>15000</v>
      </c>
      <c r="K59" s="11" t="n">
        <v>10000</v>
      </c>
      <c r="L59" s="7" t="s">
        <v>86</v>
      </c>
    </row>
    <row r="60" customFormat="false" ht="15" hidden="false" customHeight="false" outlineLevel="0" collapsed="false">
      <c r="A60" s="12" t="n">
        <v>56</v>
      </c>
      <c r="B60" s="8" t="s">
        <v>43</v>
      </c>
      <c r="C60" s="14" t="s">
        <v>235</v>
      </c>
      <c r="D60" s="14" t="s">
        <v>236</v>
      </c>
      <c r="E60" s="14" t="s">
        <v>237</v>
      </c>
      <c r="F60" s="12" t="s">
        <v>71</v>
      </c>
      <c r="G60" s="10" t="s">
        <v>48</v>
      </c>
      <c r="H60" s="14" t="s">
        <v>60</v>
      </c>
      <c r="I60" s="14" t="s">
        <v>238</v>
      </c>
      <c r="J60" s="11" t="n">
        <v>0</v>
      </c>
      <c r="K60" s="11" t="n">
        <v>5000</v>
      </c>
      <c r="L60" s="12" t="s">
        <v>51</v>
      </c>
    </row>
    <row r="61" customFormat="false" ht="15" hidden="false" customHeight="false" outlineLevel="0" collapsed="false">
      <c r="A61" s="7" t="n">
        <v>57</v>
      </c>
      <c r="B61" s="8" t="s">
        <v>43</v>
      </c>
      <c r="C61" s="9" t="s">
        <v>235</v>
      </c>
      <c r="D61" s="9" t="s">
        <v>239</v>
      </c>
      <c r="E61" s="9" t="s">
        <v>240</v>
      </c>
      <c r="F61" s="7" t="s">
        <v>71</v>
      </c>
      <c r="G61" s="16" t="s">
        <v>64</v>
      </c>
      <c r="H61" s="9" t="s">
        <v>60</v>
      </c>
      <c r="I61" s="9" t="s">
        <v>241</v>
      </c>
      <c r="J61" s="11" t="n">
        <v>8000</v>
      </c>
      <c r="K61" s="11" t="n">
        <v>1500</v>
      </c>
      <c r="L61" s="7" t="s">
        <v>67</v>
      </c>
    </row>
    <row r="62" customFormat="false" ht="15" hidden="false" customHeight="false" outlineLevel="0" collapsed="false">
      <c r="A62" s="12" t="n">
        <v>58</v>
      </c>
      <c r="B62" s="8" t="s">
        <v>43</v>
      </c>
      <c r="C62" s="14" t="s">
        <v>235</v>
      </c>
      <c r="D62" s="14" t="s">
        <v>242</v>
      </c>
      <c r="E62" s="14" t="s">
        <v>243</v>
      </c>
      <c r="F62" s="12" t="s">
        <v>47</v>
      </c>
      <c r="G62" s="16" t="s">
        <v>64</v>
      </c>
      <c r="H62" s="14" t="s">
        <v>60</v>
      </c>
      <c r="I62" s="14" t="s">
        <v>244</v>
      </c>
      <c r="J62" s="11" t="n">
        <v>50000</v>
      </c>
      <c r="K62" s="11" t="n">
        <v>0</v>
      </c>
      <c r="L62" s="12" t="s">
        <v>67</v>
      </c>
    </row>
    <row r="63" customFormat="false" ht="15" hidden="false" customHeight="false" outlineLevel="0" collapsed="false">
      <c r="A63" s="7" t="n">
        <v>59</v>
      </c>
      <c r="B63" s="8" t="s">
        <v>43</v>
      </c>
      <c r="C63" s="9" t="s">
        <v>235</v>
      </c>
      <c r="D63" s="9" t="s">
        <v>245</v>
      </c>
      <c r="E63" s="9" t="s">
        <v>246</v>
      </c>
      <c r="F63" s="7" t="s">
        <v>71</v>
      </c>
      <c r="G63" s="16" t="s">
        <v>64</v>
      </c>
      <c r="H63" s="9" t="s">
        <v>60</v>
      </c>
      <c r="I63" s="9" t="s">
        <v>247</v>
      </c>
      <c r="J63" s="11" t="n">
        <v>0</v>
      </c>
      <c r="K63" s="11" t="n">
        <v>8000</v>
      </c>
      <c r="L63" s="7" t="s">
        <v>67</v>
      </c>
    </row>
    <row r="64" customFormat="false" ht="15" hidden="false" customHeight="false" outlineLevel="0" collapsed="false">
      <c r="A64" s="12" t="n">
        <v>60</v>
      </c>
      <c r="B64" s="8" t="s">
        <v>43</v>
      </c>
      <c r="C64" s="14" t="s">
        <v>235</v>
      </c>
      <c r="D64" s="14" t="s">
        <v>248</v>
      </c>
      <c r="E64" s="14" t="s">
        <v>249</v>
      </c>
      <c r="F64" s="12" t="s">
        <v>71</v>
      </c>
      <c r="G64" s="19" t="s">
        <v>220</v>
      </c>
      <c r="H64" s="14" t="s">
        <v>65</v>
      </c>
      <c r="I64" s="14" t="s">
        <v>250</v>
      </c>
      <c r="J64" s="11" t="n">
        <v>0</v>
      </c>
      <c r="K64" s="11" t="n">
        <v>2000</v>
      </c>
      <c r="L64" s="12" t="s">
        <v>86</v>
      </c>
    </row>
    <row r="65" customFormat="false" ht="15" hidden="false" customHeight="false" outlineLevel="0" collapsed="false">
      <c r="A65" s="7" t="n">
        <v>61</v>
      </c>
      <c r="B65" s="8" t="s">
        <v>43</v>
      </c>
      <c r="C65" s="9" t="s">
        <v>251</v>
      </c>
      <c r="D65" s="9" t="s">
        <v>252</v>
      </c>
      <c r="E65" s="9" t="s">
        <v>253</v>
      </c>
      <c r="F65" s="7" t="s">
        <v>71</v>
      </c>
      <c r="G65" s="10" t="s">
        <v>48</v>
      </c>
      <c r="H65" s="9" t="s">
        <v>60</v>
      </c>
      <c r="I65" s="9" t="s">
        <v>254</v>
      </c>
      <c r="J65" s="11" t="n">
        <v>0</v>
      </c>
      <c r="K65" s="11" t="n">
        <v>4000</v>
      </c>
      <c r="L65" s="7" t="s">
        <v>51</v>
      </c>
    </row>
    <row r="66" customFormat="false" ht="15" hidden="false" customHeight="false" outlineLevel="0" collapsed="false">
      <c r="A66" s="12" t="n">
        <v>62</v>
      </c>
      <c r="B66" s="8" t="s">
        <v>43</v>
      </c>
      <c r="C66" s="14" t="s">
        <v>251</v>
      </c>
      <c r="D66" s="14" t="s">
        <v>255</v>
      </c>
      <c r="E66" s="14" t="s">
        <v>256</v>
      </c>
      <c r="F66" s="12" t="s">
        <v>71</v>
      </c>
      <c r="G66" s="16" t="s">
        <v>64</v>
      </c>
      <c r="H66" s="14" t="s">
        <v>60</v>
      </c>
      <c r="I66" s="14" t="s">
        <v>257</v>
      </c>
      <c r="J66" s="11" t="n">
        <v>0</v>
      </c>
      <c r="K66" s="11" t="n">
        <v>5000</v>
      </c>
      <c r="L66" s="12" t="s">
        <v>67</v>
      </c>
    </row>
    <row r="67" customFormat="false" ht="15" hidden="false" customHeight="false" outlineLevel="0" collapsed="false">
      <c r="A67" s="7" t="n">
        <v>63</v>
      </c>
      <c r="B67" s="8" t="s">
        <v>43</v>
      </c>
      <c r="C67" s="9" t="s">
        <v>251</v>
      </c>
      <c r="D67" s="9" t="s">
        <v>258</v>
      </c>
      <c r="E67" s="9" t="s">
        <v>259</v>
      </c>
      <c r="F67" s="7" t="s">
        <v>71</v>
      </c>
      <c r="G67" s="16" t="s">
        <v>64</v>
      </c>
      <c r="H67" s="9" t="s">
        <v>60</v>
      </c>
      <c r="I67" s="9" t="s">
        <v>260</v>
      </c>
      <c r="J67" s="11" t="n">
        <v>0</v>
      </c>
      <c r="K67" s="11" t="n">
        <v>6000</v>
      </c>
      <c r="L67" s="7" t="s">
        <v>67</v>
      </c>
    </row>
    <row r="68" customFormat="false" ht="15" hidden="false" customHeight="false" outlineLevel="0" collapsed="false">
      <c r="A68" s="12" t="n">
        <v>64</v>
      </c>
      <c r="B68" s="8" t="s">
        <v>43</v>
      </c>
      <c r="C68" s="14" t="s">
        <v>251</v>
      </c>
      <c r="D68" s="14" t="s">
        <v>261</v>
      </c>
      <c r="E68" s="14" t="s">
        <v>262</v>
      </c>
      <c r="F68" s="12" t="s">
        <v>71</v>
      </c>
      <c r="G68" s="16" t="s">
        <v>64</v>
      </c>
      <c r="H68" s="14" t="s">
        <v>60</v>
      </c>
      <c r="I68" s="14" t="s">
        <v>263</v>
      </c>
      <c r="J68" s="11" t="n">
        <v>0</v>
      </c>
      <c r="K68" s="11" t="n">
        <v>5000</v>
      </c>
      <c r="L68" s="12" t="s">
        <v>67</v>
      </c>
    </row>
    <row r="69" customFormat="false" ht="15" hidden="false" customHeight="false" outlineLevel="0" collapsed="false">
      <c r="A69" s="7" t="n">
        <v>65</v>
      </c>
      <c r="B69" s="8" t="s">
        <v>43</v>
      </c>
      <c r="C69" s="9" t="s">
        <v>251</v>
      </c>
      <c r="D69" s="9" t="s">
        <v>264</v>
      </c>
      <c r="E69" s="9" t="s">
        <v>265</v>
      </c>
      <c r="F69" s="7" t="s">
        <v>71</v>
      </c>
      <c r="G69" s="16" t="s">
        <v>64</v>
      </c>
      <c r="H69" s="9" t="s">
        <v>60</v>
      </c>
      <c r="I69" s="9" t="s">
        <v>266</v>
      </c>
      <c r="J69" s="11" t="n">
        <v>0</v>
      </c>
      <c r="K69" s="11" t="n">
        <v>3000</v>
      </c>
      <c r="L69" s="7" t="s">
        <v>67</v>
      </c>
    </row>
    <row r="70" customFormat="false" ht="15" hidden="false" customHeight="false" outlineLevel="0" collapsed="false">
      <c r="A70" s="12" t="n">
        <v>66</v>
      </c>
      <c r="B70" s="15" t="s">
        <v>3</v>
      </c>
      <c r="C70" s="14" t="s">
        <v>251</v>
      </c>
      <c r="D70" s="14" t="s">
        <v>267</v>
      </c>
      <c r="E70" s="14" t="s">
        <v>268</v>
      </c>
      <c r="F70" s="12" t="s">
        <v>47</v>
      </c>
      <c r="G70" s="18" t="s">
        <v>84</v>
      </c>
      <c r="H70" s="14" t="s">
        <v>60</v>
      </c>
      <c r="I70" s="14" t="s">
        <v>269</v>
      </c>
      <c r="J70" s="11" t="n">
        <v>0</v>
      </c>
      <c r="K70" s="11" t="n">
        <v>4000</v>
      </c>
      <c r="L70" s="12" t="s">
        <v>86</v>
      </c>
    </row>
    <row r="71" customFormat="false" ht="19.4" hidden="false" customHeight="false" outlineLevel="0" collapsed="false">
      <c r="A71" s="7" t="n">
        <v>67</v>
      </c>
      <c r="B71" s="15" t="s">
        <v>3</v>
      </c>
      <c r="C71" s="9" t="s">
        <v>270</v>
      </c>
      <c r="D71" s="9" t="s">
        <v>271</v>
      </c>
      <c r="E71" s="9" t="s">
        <v>272</v>
      </c>
      <c r="F71" s="7" t="s">
        <v>47</v>
      </c>
      <c r="G71" s="16" t="s">
        <v>64</v>
      </c>
      <c r="H71" s="9" t="s">
        <v>65</v>
      </c>
      <c r="I71" s="9" t="s">
        <v>273</v>
      </c>
      <c r="J71" s="11" t="n">
        <v>0</v>
      </c>
      <c r="K71" s="11" t="n">
        <v>10000</v>
      </c>
      <c r="L71" s="7" t="s">
        <v>67</v>
      </c>
    </row>
    <row r="72" customFormat="false" ht="19.4" hidden="false" customHeight="false" outlineLevel="0" collapsed="false">
      <c r="A72" s="12" t="n">
        <v>68</v>
      </c>
      <c r="B72" s="15" t="s">
        <v>3</v>
      </c>
      <c r="C72" s="14" t="s">
        <v>270</v>
      </c>
      <c r="D72" s="14" t="s">
        <v>274</v>
      </c>
      <c r="E72" s="14" t="s">
        <v>275</v>
      </c>
      <c r="F72" s="12" t="s">
        <v>47</v>
      </c>
      <c r="G72" s="18" t="s">
        <v>84</v>
      </c>
      <c r="H72" s="14" t="s">
        <v>60</v>
      </c>
      <c r="I72" s="14" t="s">
        <v>276</v>
      </c>
      <c r="J72" s="11" t="n">
        <v>0</v>
      </c>
      <c r="K72" s="11" t="n">
        <v>0</v>
      </c>
      <c r="L72" s="12" t="s">
        <v>86</v>
      </c>
    </row>
    <row r="73" customFormat="false" ht="19.4" hidden="false" customHeight="false" outlineLevel="0" collapsed="false">
      <c r="A73" s="7" t="n">
        <v>69</v>
      </c>
      <c r="B73" s="17" t="s">
        <v>50</v>
      </c>
      <c r="C73" s="9" t="s">
        <v>270</v>
      </c>
      <c r="D73" s="9" t="s">
        <v>277</v>
      </c>
      <c r="E73" s="9" t="s">
        <v>278</v>
      </c>
      <c r="F73" s="7" t="s">
        <v>47</v>
      </c>
      <c r="G73" s="18" t="s">
        <v>84</v>
      </c>
      <c r="H73" s="9" t="s">
        <v>65</v>
      </c>
      <c r="I73" s="9" t="s">
        <v>279</v>
      </c>
      <c r="J73" s="11" t="n">
        <v>0</v>
      </c>
      <c r="K73" s="11" t="n">
        <v>0</v>
      </c>
      <c r="L73" s="7" t="s">
        <v>86</v>
      </c>
    </row>
    <row r="74" customFormat="false" ht="19.4" hidden="false" customHeight="false" outlineLevel="0" collapsed="false">
      <c r="A74" s="12" t="n">
        <v>70</v>
      </c>
      <c r="B74" s="17" t="s">
        <v>50</v>
      </c>
      <c r="C74" s="14" t="s">
        <v>270</v>
      </c>
      <c r="D74" s="14" t="s">
        <v>280</v>
      </c>
      <c r="E74" s="14" t="s">
        <v>281</v>
      </c>
      <c r="F74" s="12" t="s">
        <v>282</v>
      </c>
      <c r="G74" s="19" t="s">
        <v>220</v>
      </c>
      <c r="H74" s="14" t="s">
        <v>60</v>
      </c>
      <c r="I74" s="14" t="s">
        <v>283</v>
      </c>
      <c r="J74" s="11" t="n">
        <v>100000</v>
      </c>
      <c r="K74" s="11" t="n">
        <v>250000</v>
      </c>
      <c r="L74" s="12" t="s">
        <v>86</v>
      </c>
    </row>
    <row r="75" customFormat="false" ht="19.4" hidden="false" customHeight="false" outlineLevel="0" collapsed="false">
      <c r="A75" s="7" t="n">
        <v>71</v>
      </c>
      <c r="B75" s="8" t="s">
        <v>43</v>
      </c>
      <c r="C75" s="9" t="s">
        <v>270</v>
      </c>
      <c r="D75" s="9" t="s">
        <v>284</v>
      </c>
      <c r="E75" s="9" t="s">
        <v>285</v>
      </c>
      <c r="F75" s="7" t="s">
        <v>131</v>
      </c>
      <c r="G75" s="18" t="s">
        <v>84</v>
      </c>
      <c r="H75" s="9" t="s">
        <v>65</v>
      </c>
      <c r="I75" s="9" t="s">
        <v>286</v>
      </c>
      <c r="J75" s="11" t="n">
        <v>0</v>
      </c>
      <c r="K75" s="11" t="n">
        <v>40000</v>
      </c>
      <c r="L75" s="7" t="s">
        <v>86</v>
      </c>
    </row>
    <row r="76" customFormat="false" ht="19.4" hidden="false" customHeight="false" outlineLevel="0" collapsed="false">
      <c r="A76" s="12" t="n">
        <v>72</v>
      </c>
      <c r="B76" s="17" t="s">
        <v>50</v>
      </c>
      <c r="C76" s="14" t="s">
        <v>270</v>
      </c>
      <c r="D76" s="14" t="s">
        <v>287</v>
      </c>
      <c r="E76" s="14" t="s">
        <v>288</v>
      </c>
      <c r="F76" s="12" t="s">
        <v>47</v>
      </c>
      <c r="G76" s="19" t="s">
        <v>220</v>
      </c>
      <c r="H76" s="14" t="s">
        <v>65</v>
      </c>
      <c r="I76" s="14" t="s">
        <v>289</v>
      </c>
      <c r="J76" s="11" t="n">
        <v>0</v>
      </c>
      <c r="K76" s="11" t="n">
        <v>2000</v>
      </c>
      <c r="L76" s="12" t="s">
        <v>86</v>
      </c>
    </row>
    <row r="77" customFormat="false" ht="15" hidden="false" customHeight="false" outlineLevel="0" collapsed="false">
      <c r="A77" s="7" t="n">
        <v>73</v>
      </c>
      <c r="B77" s="15" t="s">
        <v>3</v>
      </c>
      <c r="C77" s="9" t="s">
        <v>290</v>
      </c>
      <c r="D77" s="9" t="s">
        <v>291</v>
      </c>
      <c r="E77" s="9" t="s">
        <v>292</v>
      </c>
      <c r="F77" s="7" t="s">
        <v>131</v>
      </c>
      <c r="G77" s="16" t="s">
        <v>64</v>
      </c>
      <c r="H77" s="9" t="s">
        <v>60</v>
      </c>
      <c r="I77" s="9" t="s">
        <v>293</v>
      </c>
      <c r="J77" s="11" t="n">
        <v>0</v>
      </c>
      <c r="K77" s="11" t="n">
        <v>100000</v>
      </c>
      <c r="L77" s="7" t="s">
        <v>67</v>
      </c>
    </row>
    <row r="78" customFormat="false" ht="15" hidden="false" customHeight="false" outlineLevel="0" collapsed="false">
      <c r="A78" s="12" t="n">
        <v>74</v>
      </c>
      <c r="B78" s="8" t="s">
        <v>43</v>
      </c>
      <c r="C78" s="14" t="s">
        <v>290</v>
      </c>
      <c r="D78" s="14" t="s">
        <v>294</v>
      </c>
      <c r="E78" s="14" t="s">
        <v>295</v>
      </c>
      <c r="F78" s="12" t="s">
        <v>71</v>
      </c>
      <c r="G78" s="18" t="s">
        <v>84</v>
      </c>
      <c r="H78" s="14" t="s">
        <v>65</v>
      </c>
      <c r="I78" s="14" t="s">
        <v>296</v>
      </c>
      <c r="J78" s="11" t="n">
        <v>0</v>
      </c>
      <c r="K78" s="11" t="n">
        <v>15000</v>
      </c>
      <c r="L78" s="12" t="s">
        <v>86</v>
      </c>
    </row>
    <row r="79" customFormat="false" ht="15" hidden="false" customHeight="false" outlineLevel="0" collapsed="false">
      <c r="A79" s="7" t="n">
        <v>75</v>
      </c>
      <c r="B79" s="8" t="s">
        <v>43</v>
      </c>
      <c r="C79" s="9" t="s">
        <v>290</v>
      </c>
      <c r="D79" s="9" t="s">
        <v>297</v>
      </c>
      <c r="E79" s="9" t="s">
        <v>298</v>
      </c>
      <c r="F79" s="7" t="s">
        <v>71</v>
      </c>
      <c r="G79" s="18" t="s">
        <v>84</v>
      </c>
      <c r="H79" s="9" t="s">
        <v>65</v>
      </c>
      <c r="I79" s="9" t="s">
        <v>299</v>
      </c>
      <c r="J79" s="11" t="n">
        <v>0</v>
      </c>
      <c r="K79" s="11" t="n">
        <v>3000</v>
      </c>
      <c r="L79" s="7" t="s">
        <v>86</v>
      </c>
    </row>
    <row r="80" customFormat="false" ht="15" hidden="false" customHeight="false" outlineLevel="0" collapsed="false">
      <c r="A80" s="12" t="n">
        <v>76</v>
      </c>
      <c r="B80" s="8" t="s">
        <v>43</v>
      </c>
      <c r="C80" s="14" t="s">
        <v>290</v>
      </c>
      <c r="D80" s="14" t="s">
        <v>300</v>
      </c>
      <c r="E80" s="14" t="s">
        <v>301</v>
      </c>
      <c r="F80" s="12" t="s">
        <v>47</v>
      </c>
      <c r="G80" s="18" t="s">
        <v>84</v>
      </c>
      <c r="H80" s="14" t="s">
        <v>65</v>
      </c>
      <c r="I80" s="14" t="s">
        <v>302</v>
      </c>
      <c r="J80" s="11" t="n">
        <v>0</v>
      </c>
      <c r="K80" s="11" t="n">
        <v>20000</v>
      </c>
      <c r="L80" s="12" t="s">
        <v>86</v>
      </c>
    </row>
    <row r="81" customFormat="false" ht="15" hidden="false" customHeight="false" outlineLevel="0" collapsed="false">
      <c r="A81" s="7" t="n">
        <v>77</v>
      </c>
      <c r="B81" s="15" t="s">
        <v>3</v>
      </c>
      <c r="C81" s="9" t="s">
        <v>303</v>
      </c>
      <c r="D81" s="9" t="s">
        <v>304</v>
      </c>
      <c r="E81" s="9" t="s">
        <v>305</v>
      </c>
      <c r="F81" s="7" t="s">
        <v>71</v>
      </c>
      <c r="G81" s="10" t="s">
        <v>48</v>
      </c>
      <c r="H81" s="9" t="s">
        <v>60</v>
      </c>
      <c r="I81" s="9" t="s">
        <v>306</v>
      </c>
      <c r="J81" s="11" t="n">
        <v>10000</v>
      </c>
      <c r="K81" s="11" t="n">
        <v>3000</v>
      </c>
      <c r="L81" s="7" t="s">
        <v>51</v>
      </c>
    </row>
    <row r="82" customFormat="false" ht="15" hidden="false" customHeight="false" outlineLevel="0" collapsed="false">
      <c r="A82" s="12" t="n">
        <v>78</v>
      </c>
      <c r="B82" s="15" t="s">
        <v>3</v>
      </c>
      <c r="C82" s="14" t="s">
        <v>303</v>
      </c>
      <c r="D82" s="14" t="s">
        <v>307</v>
      </c>
      <c r="E82" s="14" t="s">
        <v>308</v>
      </c>
      <c r="F82" s="12" t="s">
        <v>47</v>
      </c>
      <c r="G82" s="10" t="s">
        <v>48</v>
      </c>
      <c r="H82" s="14" t="s">
        <v>65</v>
      </c>
      <c r="I82" s="14" t="s">
        <v>309</v>
      </c>
      <c r="J82" s="11" t="n">
        <v>50000</v>
      </c>
      <c r="K82" s="11" t="n">
        <v>0</v>
      </c>
      <c r="L82" s="12" t="s">
        <v>51</v>
      </c>
    </row>
    <row r="83" customFormat="false" ht="15" hidden="false" customHeight="false" outlineLevel="0" collapsed="false">
      <c r="A83" s="7" t="n">
        <v>79</v>
      </c>
      <c r="B83" s="8" t="s">
        <v>43</v>
      </c>
      <c r="C83" s="9" t="s">
        <v>303</v>
      </c>
      <c r="D83" s="9" t="s">
        <v>310</v>
      </c>
      <c r="E83" s="9" t="s">
        <v>311</v>
      </c>
      <c r="F83" s="7" t="s">
        <v>47</v>
      </c>
      <c r="G83" s="18" t="s">
        <v>84</v>
      </c>
      <c r="H83" s="9" t="s">
        <v>97</v>
      </c>
      <c r="I83" s="9" t="s">
        <v>312</v>
      </c>
      <c r="J83" s="11" t="n">
        <v>40000</v>
      </c>
      <c r="K83" s="11" t="n">
        <v>30000</v>
      </c>
      <c r="L83" s="7" t="s">
        <v>86</v>
      </c>
    </row>
    <row r="84" customFormat="false" ht="15" hidden="false" customHeight="false" outlineLevel="0" collapsed="false">
      <c r="A84" s="12" t="n">
        <v>80</v>
      </c>
      <c r="B84" s="8" t="s">
        <v>43</v>
      </c>
      <c r="C84" s="14" t="s">
        <v>303</v>
      </c>
      <c r="D84" s="14" t="s">
        <v>313</v>
      </c>
      <c r="E84" s="14" t="s">
        <v>314</v>
      </c>
      <c r="F84" s="12" t="s">
        <v>131</v>
      </c>
      <c r="G84" s="19" t="s">
        <v>220</v>
      </c>
      <c r="H84" s="14" t="s">
        <v>65</v>
      </c>
      <c r="I84" s="14" t="s">
        <v>315</v>
      </c>
      <c r="J84" s="11" t="n">
        <v>0</v>
      </c>
      <c r="K84" s="11" t="n">
        <v>30000</v>
      </c>
      <c r="L84" s="12" t="s">
        <v>86</v>
      </c>
    </row>
    <row r="85" customFormat="false" ht="15" hidden="false" customHeight="false" outlineLevel="0" collapsed="false">
      <c r="A85" s="7" t="n">
        <v>81</v>
      </c>
      <c r="B85" s="8" t="s">
        <v>43</v>
      </c>
      <c r="C85" s="9" t="s">
        <v>316</v>
      </c>
      <c r="D85" s="9" t="s">
        <v>317</v>
      </c>
      <c r="E85" s="9" t="s">
        <v>318</v>
      </c>
      <c r="F85" s="7" t="s">
        <v>71</v>
      </c>
      <c r="G85" s="10" t="s">
        <v>48</v>
      </c>
      <c r="H85" s="9" t="s">
        <v>60</v>
      </c>
      <c r="I85" s="9" t="s">
        <v>319</v>
      </c>
      <c r="J85" s="11" t="n">
        <v>6000</v>
      </c>
      <c r="K85" s="11" t="n">
        <v>2500</v>
      </c>
      <c r="L85" s="7" t="s">
        <v>51</v>
      </c>
    </row>
    <row r="86" customFormat="false" ht="15" hidden="false" customHeight="false" outlineLevel="0" collapsed="false">
      <c r="A86" s="12" t="n">
        <v>82</v>
      </c>
      <c r="B86" s="8" t="s">
        <v>43</v>
      </c>
      <c r="C86" s="14" t="s">
        <v>316</v>
      </c>
      <c r="D86" s="14" t="s">
        <v>320</v>
      </c>
      <c r="E86" s="14" t="s">
        <v>321</v>
      </c>
      <c r="F86" s="12" t="s">
        <v>71</v>
      </c>
      <c r="G86" s="10" t="s">
        <v>48</v>
      </c>
      <c r="H86" s="14" t="s">
        <v>60</v>
      </c>
      <c r="I86" s="14" t="s">
        <v>322</v>
      </c>
      <c r="J86" s="11" t="n">
        <v>0</v>
      </c>
      <c r="K86" s="11" t="n">
        <v>0</v>
      </c>
      <c r="L86" s="12" t="s">
        <v>51</v>
      </c>
    </row>
    <row r="87" customFormat="false" ht="15" hidden="false" customHeight="false" outlineLevel="0" collapsed="false">
      <c r="A87" s="7" t="n">
        <v>83</v>
      </c>
      <c r="B87" s="8" t="s">
        <v>43</v>
      </c>
      <c r="C87" s="9" t="s">
        <v>316</v>
      </c>
      <c r="D87" s="9" t="s">
        <v>323</v>
      </c>
      <c r="E87" s="9" t="s">
        <v>324</v>
      </c>
      <c r="F87" s="7" t="s">
        <v>47</v>
      </c>
      <c r="G87" s="10" t="s">
        <v>48</v>
      </c>
      <c r="H87" s="9" t="s">
        <v>60</v>
      </c>
      <c r="I87" s="9" t="s">
        <v>325</v>
      </c>
      <c r="J87" s="11" t="n">
        <v>0</v>
      </c>
      <c r="K87" s="11" t="n">
        <v>15000</v>
      </c>
      <c r="L87" s="7" t="s">
        <v>51</v>
      </c>
    </row>
    <row r="88" customFormat="false" ht="15" hidden="false" customHeight="false" outlineLevel="0" collapsed="false">
      <c r="A88" s="12" t="n">
        <v>84</v>
      </c>
      <c r="B88" s="8" t="s">
        <v>43</v>
      </c>
      <c r="C88" s="14" t="s">
        <v>316</v>
      </c>
      <c r="D88" s="14" t="s">
        <v>326</v>
      </c>
      <c r="E88" s="14" t="s">
        <v>327</v>
      </c>
      <c r="F88" s="12" t="s">
        <v>47</v>
      </c>
      <c r="G88" s="10" t="s">
        <v>48</v>
      </c>
      <c r="H88" s="14" t="s">
        <v>60</v>
      </c>
      <c r="I88" s="14" t="s">
        <v>328</v>
      </c>
      <c r="J88" s="11" t="n">
        <v>40000</v>
      </c>
      <c r="K88" s="11" t="n">
        <v>0</v>
      </c>
      <c r="L88" s="12" t="s">
        <v>51</v>
      </c>
    </row>
    <row r="89" customFormat="false" ht="15" hidden="false" customHeight="false" outlineLevel="0" collapsed="false">
      <c r="A89" s="7" t="n">
        <v>85</v>
      </c>
      <c r="B89" s="8" t="s">
        <v>43</v>
      </c>
      <c r="C89" s="9" t="s">
        <v>316</v>
      </c>
      <c r="D89" s="9" t="s">
        <v>329</v>
      </c>
      <c r="E89" s="9" t="s">
        <v>330</v>
      </c>
      <c r="F89" s="7" t="s">
        <v>71</v>
      </c>
      <c r="G89" s="16" t="s">
        <v>64</v>
      </c>
      <c r="H89" s="9" t="s">
        <v>60</v>
      </c>
      <c r="I89" s="9" t="s">
        <v>331</v>
      </c>
      <c r="J89" s="11" t="n">
        <v>0</v>
      </c>
      <c r="K89" s="11" t="n">
        <v>2000</v>
      </c>
      <c r="L89" s="7" t="s">
        <v>67</v>
      </c>
    </row>
    <row r="90" customFormat="false" ht="15" hidden="false" customHeight="false" outlineLevel="0" collapsed="false">
      <c r="A90" s="12" t="n">
        <v>86</v>
      </c>
      <c r="B90" s="8" t="s">
        <v>43</v>
      </c>
      <c r="C90" s="14" t="s">
        <v>316</v>
      </c>
      <c r="D90" s="14" t="s">
        <v>332</v>
      </c>
      <c r="E90" s="14" t="s">
        <v>333</v>
      </c>
      <c r="F90" s="12" t="s">
        <v>47</v>
      </c>
      <c r="G90" s="16" t="s">
        <v>64</v>
      </c>
      <c r="H90" s="14" t="s">
        <v>65</v>
      </c>
      <c r="I90" s="14" t="s">
        <v>334</v>
      </c>
      <c r="J90" s="11" t="n">
        <v>0</v>
      </c>
      <c r="K90" s="11" t="n">
        <v>2000</v>
      </c>
      <c r="L90" s="12" t="s">
        <v>67</v>
      </c>
    </row>
    <row r="91" customFormat="false" ht="15" hidden="false" customHeight="false" outlineLevel="0" collapsed="false">
      <c r="A91" s="7" t="n">
        <v>87</v>
      </c>
      <c r="B91" s="15" t="s">
        <v>3</v>
      </c>
      <c r="C91" s="9" t="s">
        <v>316</v>
      </c>
      <c r="D91" s="9" t="s">
        <v>335</v>
      </c>
      <c r="E91" s="9" t="s">
        <v>336</v>
      </c>
      <c r="F91" s="7" t="s">
        <v>47</v>
      </c>
      <c r="G91" s="19" t="s">
        <v>220</v>
      </c>
      <c r="H91" s="9" t="s">
        <v>60</v>
      </c>
      <c r="I91" s="9" t="s">
        <v>337</v>
      </c>
      <c r="J91" s="11" t="n">
        <v>0</v>
      </c>
      <c r="K91" s="11" t="n">
        <v>0</v>
      </c>
      <c r="L91" s="7" t="s">
        <v>86</v>
      </c>
    </row>
    <row r="92" customFormat="false" ht="15" hidden="false" customHeight="false" outlineLevel="0" collapsed="false">
      <c r="A92" s="12" t="n">
        <v>88</v>
      </c>
      <c r="B92" s="8" t="s">
        <v>43</v>
      </c>
      <c r="C92" s="14" t="s">
        <v>338</v>
      </c>
      <c r="D92" s="14" t="s">
        <v>339</v>
      </c>
      <c r="E92" s="14" t="s">
        <v>340</v>
      </c>
      <c r="F92" s="12" t="s">
        <v>47</v>
      </c>
      <c r="G92" s="10" t="s">
        <v>48</v>
      </c>
      <c r="H92" s="14" t="s">
        <v>60</v>
      </c>
      <c r="I92" s="14" t="s">
        <v>341</v>
      </c>
      <c r="J92" s="11" t="n">
        <v>0</v>
      </c>
      <c r="K92" s="11" t="n">
        <v>6000</v>
      </c>
      <c r="L92" s="12" t="s">
        <v>51</v>
      </c>
    </row>
    <row r="93" customFormat="false" ht="15" hidden="false" customHeight="false" outlineLevel="0" collapsed="false">
      <c r="A93" s="7" t="n">
        <v>89</v>
      </c>
      <c r="B93" s="8" t="s">
        <v>43</v>
      </c>
      <c r="C93" s="9" t="s">
        <v>338</v>
      </c>
      <c r="D93" s="9" t="s">
        <v>342</v>
      </c>
      <c r="E93" s="9" t="s">
        <v>343</v>
      </c>
      <c r="F93" s="7" t="s">
        <v>47</v>
      </c>
      <c r="G93" s="16" t="s">
        <v>64</v>
      </c>
      <c r="H93" s="9" t="s">
        <v>60</v>
      </c>
      <c r="I93" s="9" t="s">
        <v>344</v>
      </c>
      <c r="J93" s="11" t="n">
        <v>0</v>
      </c>
      <c r="K93" s="11" t="n">
        <v>6000</v>
      </c>
      <c r="L93" s="7" t="s">
        <v>67</v>
      </c>
    </row>
    <row r="94" customFormat="false" ht="15" hidden="false" customHeight="false" outlineLevel="0" collapsed="false">
      <c r="A94" s="12" t="n">
        <v>90</v>
      </c>
      <c r="B94" s="8" t="s">
        <v>43</v>
      </c>
      <c r="C94" s="14" t="s">
        <v>338</v>
      </c>
      <c r="D94" s="14" t="s">
        <v>345</v>
      </c>
      <c r="E94" s="14" t="s">
        <v>346</v>
      </c>
      <c r="F94" s="12" t="s">
        <v>47</v>
      </c>
      <c r="G94" s="18" t="s">
        <v>84</v>
      </c>
      <c r="H94" s="14" t="s">
        <v>60</v>
      </c>
      <c r="I94" s="14" t="s">
        <v>347</v>
      </c>
      <c r="J94" s="11" t="n">
        <v>0</v>
      </c>
      <c r="K94" s="11" t="n">
        <v>3000</v>
      </c>
      <c r="L94" s="12" t="s">
        <v>86</v>
      </c>
    </row>
    <row r="95" customFormat="false" ht="15" hidden="false" customHeight="false" outlineLevel="0" collapsed="false">
      <c r="A95" s="7" t="n">
        <v>91</v>
      </c>
      <c r="B95" s="8" t="s">
        <v>43</v>
      </c>
      <c r="C95" s="9" t="s">
        <v>348</v>
      </c>
      <c r="D95" s="9" t="s">
        <v>349</v>
      </c>
      <c r="E95" s="9" t="s">
        <v>350</v>
      </c>
      <c r="F95" s="7" t="s">
        <v>47</v>
      </c>
      <c r="G95" s="16" t="s">
        <v>64</v>
      </c>
      <c r="H95" s="9" t="s">
        <v>97</v>
      </c>
      <c r="I95" s="9" t="s">
        <v>351</v>
      </c>
      <c r="J95" s="11" t="n">
        <v>0</v>
      </c>
      <c r="K95" s="11" t="n">
        <v>0</v>
      </c>
      <c r="L95" s="7" t="s">
        <v>67</v>
      </c>
    </row>
    <row r="96" customFormat="false" ht="15" hidden="false" customHeight="false" outlineLevel="0" collapsed="false">
      <c r="A96" s="12" t="n">
        <v>92</v>
      </c>
      <c r="B96" s="8" t="s">
        <v>43</v>
      </c>
      <c r="C96" s="14" t="s">
        <v>348</v>
      </c>
      <c r="D96" s="14" t="s">
        <v>352</v>
      </c>
      <c r="E96" s="14" t="s">
        <v>353</v>
      </c>
      <c r="F96" s="12" t="s">
        <v>71</v>
      </c>
      <c r="G96" s="16" t="s">
        <v>64</v>
      </c>
      <c r="H96" s="14" t="s">
        <v>60</v>
      </c>
      <c r="I96" s="14" t="s">
        <v>354</v>
      </c>
      <c r="J96" s="11" t="n">
        <v>0</v>
      </c>
      <c r="K96" s="11" t="n">
        <v>3000</v>
      </c>
      <c r="L96" s="12" t="s">
        <v>67</v>
      </c>
    </row>
    <row r="97" customFormat="false" ht="15" hidden="false" customHeight="false" outlineLevel="0" collapsed="false">
      <c r="A97" s="7" t="n">
        <v>93</v>
      </c>
      <c r="B97" s="8" t="s">
        <v>43</v>
      </c>
      <c r="C97" s="9" t="s">
        <v>348</v>
      </c>
      <c r="D97" s="9" t="s">
        <v>355</v>
      </c>
      <c r="E97" s="9" t="s">
        <v>356</v>
      </c>
      <c r="F97" s="7" t="s">
        <v>47</v>
      </c>
      <c r="G97" s="16" t="s">
        <v>64</v>
      </c>
      <c r="H97" s="9" t="s">
        <v>65</v>
      </c>
      <c r="I97" s="9" t="s">
        <v>357</v>
      </c>
      <c r="J97" s="11" t="n">
        <v>0</v>
      </c>
      <c r="K97" s="11" t="n">
        <v>1500</v>
      </c>
      <c r="L97" s="7" t="s">
        <v>67</v>
      </c>
    </row>
    <row r="98" customFormat="false" ht="15" hidden="false" customHeight="false" outlineLevel="0" collapsed="false">
      <c r="A98" s="12" t="n">
        <v>94</v>
      </c>
      <c r="B98" s="8" t="s">
        <v>43</v>
      </c>
      <c r="C98" s="14" t="s">
        <v>348</v>
      </c>
      <c r="D98" s="14" t="s">
        <v>358</v>
      </c>
      <c r="E98" s="14" t="s">
        <v>359</v>
      </c>
      <c r="F98" s="12" t="s">
        <v>71</v>
      </c>
      <c r="G98" s="18" t="s">
        <v>84</v>
      </c>
      <c r="H98" s="14" t="s">
        <v>65</v>
      </c>
      <c r="I98" s="14" t="s">
        <v>360</v>
      </c>
      <c r="J98" s="11" t="n">
        <v>0</v>
      </c>
      <c r="K98" s="11" t="n">
        <v>1000</v>
      </c>
      <c r="L98" s="12" t="s">
        <v>86</v>
      </c>
    </row>
    <row r="99" customFormat="false" ht="15" hidden="false" customHeight="false" outlineLevel="0" collapsed="false">
      <c r="A99" s="7" t="n">
        <v>95</v>
      </c>
      <c r="B99" s="8" t="s">
        <v>43</v>
      </c>
      <c r="C99" s="9" t="s">
        <v>361</v>
      </c>
      <c r="D99" s="9" t="s">
        <v>362</v>
      </c>
      <c r="E99" s="9" t="s">
        <v>363</v>
      </c>
      <c r="F99" s="7" t="s">
        <v>71</v>
      </c>
      <c r="G99" s="10" t="s">
        <v>48</v>
      </c>
      <c r="H99" s="9" t="s">
        <v>65</v>
      </c>
      <c r="I99" s="9" t="s">
        <v>364</v>
      </c>
      <c r="J99" s="11" t="n">
        <v>0</v>
      </c>
      <c r="K99" s="11" t="n">
        <v>3000</v>
      </c>
      <c r="L99" s="7" t="s">
        <v>51</v>
      </c>
    </row>
    <row r="100" customFormat="false" ht="15" hidden="false" customHeight="false" outlineLevel="0" collapsed="false">
      <c r="A100" s="12" t="n">
        <v>96</v>
      </c>
      <c r="B100" s="8" t="s">
        <v>43</v>
      </c>
      <c r="C100" s="14" t="s">
        <v>361</v>
      </c>
      <c r="D100" s="14" t="s">
        <v>365</v>
      </c>
      <c r="E100" s="14" t="s">
        <v>366</v>
      </c>
      <c r="F100" s="12" t="s">
        <v>71</v>
      </c>
      <c r="G100" s="16" t="s">
        <v>64</v>
      </c>
      <c r="H100" s="14" t="s">
        <v>65</v>
      </c>
      <c r="I100" s="14" t="s">
        <v>367</v>
      </c>
      <c r="J100" s="11" t="n">
        <v>0</v>
      </c>
      <c r="K100" s="11" t="n">
        <v>3000</v>
      </c>
      <c r="L100" s="12" t="s">
        <v>67</v>
      </c>
    </row>
    <row r="101" customFormat="false" ht="15" hidden="false" customHeight="false" outlineLevel="0" collapsed="false">
      <c r="A101" s="7" t="n">
        <v>97</v>
      </c>
      <c r="B101" s="8" t="s">
        <v>43</v>
      </c>
      <c r="C101" s="9" t="s">
        <v>361</v>
      </c>
      <c r="D101" s="9" t="s">
        <v>368</v>
      </c>
      <c r="E101" s="9" t="s">
        <v>369</v>
      </c>
      <c r="F101" s="7" t="s">
        <v>71</v>
      </c>
      <c r="G101" s="16" t="s">
        <v>64</v>
      </c>
      <c r="H101" s="9" t="s">
        <v>65</v>
      </c>
      <c r="I101" s="9" t="s">
        <v>370</v>
      </c>
      <c r="J101" s="11" t="n">
        <v>0</v>
      </c>
      <c r="K101" s="11" t="n">
        <v>2000</v>
      </c>
      <c r="L101" s="7" t="s">
        <v>67</v>
      </c>
    </row>
    <row r="102" customFormat="false" ht="15" hidden="false" customHeight="false" outlineLevel="0" collapsed="false">
      <c r="A102" s="12" t="n">
        <v>98</v>
      </c>
      <c r="B102" s="8" t="s">
        <v>43</v>
      </c>
      <c r="C102" s="14" t="s">
        <v>361</v>
      </c>
      <c r="D102" s="14" t="s">
        <v>371</v>
      </c>
      <c r="E102" s="14" t="s">
        <v>372</v>
      </c>
      <c r="F102" s="12" t="s">
        <v>71</v>
      </c>
      <c r="G102" s="16" t="s">
        <v>64</v>
      </c>
      <c r="H102" s="14" t="s">
        <v>65</v>
      </c>
      <c r="I102" s="14" t="s">
        <v>373</v>
      </c>
      <c r="J102" s="11" t="n">
        <v>0</v>
      </c>
      <c r="K102" s="11" t="n">
        <v>1500</v>
      </c>
      <c r="L102" s="12" t="s">
        <v>67</v>
      </c>
    </row>
    <row r="103" customFormat="false" ht="15" hidden="false" customHeight="false" outlineLevel="0" collapsed="false">
      <c r="A103" s="7" t="n">
        <v>99</v>
      </c>
      <c r="B103" s="13" t="s">
        <v>52</v>
      </c>
      <c r="C103" s="9" t="s">
        <v>361</v>
      </c>
      <c r="D103" s="9" t="s">
        <v>374</v>
      </c>
      <c r="E103" s="9" t="s">
        <v>375</v>
      </c>
      <c r="F103" s="7" t="s">
        <v>71</v>
      </c>
      <c r="G103" s="16" t="s">
        <v>64</v>
      </c>
      <c r="H103" s="9" t="s">
        <v>60</v>
      </c>
      <c r="I103" s="9" t="s">
        <v>376</v>
      </c>
      <c r="J103" s="11" t="n">
        <v>0</v>
      </c>
      <c r="K103" s="11" t="n">
        <v>4000</v>
      </c>
      <c r="L103" s="7" t="s">
        <v>67</v>
      </c>
    </row>
    <row r="104" customFormat="false" ht="15" hidden="false" customHeight="false" outlineLevel="0" collapsed="false">
      <c r="A104" s="12" t="n">
        <v>100</v>
      </c>
      <c r="B104" s="8" t="s">
        <v>43</v>
      </c>
      <c r="C104" s="14" t="s">
        <v>377</v>
      </c>
      <c r="D104" s="14" t="s">
        <v>378</v>
      </c>
      <c r="E104" s="14" t="s">
        <v>379</v>
      </c>
      <c r="F104" s="12" t="s">
        <v>71</v>
      </c>
      <c r="G104" s="10" t="s">
        <v>48</v>
      </c>
      <c r="H104" s="14" t="s">
        <v>65</v>
      </c>
      <c r="I104" s="14" t="s">
        <v>380</v>
      </c>
      <c r="J104" s="11" t="n">
        <v>5000</v>
      </c>
      <c r="K104" s="11" t="n">
        <v>2000</v>
      </c>
      <c r="L104" s="12" t="s">
        <v>51</v>
      </c>
    </row>
    <row r="105" customFormat="false" ht="15" hidden="false" customHeight="false" outlineLevel="0" collapsed="false">
      <c r="A105" s="7" t="n">
        <v>101</v>
      </c>
      <c r="B105" s="8" t="s">
        <v>43</v>
      </c>
      <c r="C105" s="9" t="s">
        <v>377</v>
      </c>
      <c r="D105" s="9" t="s">
        <v>381</v>
      </c>
      <c r="E105" s="9" t="s">
        <v>382</v>
      </c>
      <c r="F105" s="7" t="s">
        <v>47</v>
      </c>
      <c r="G105" s="16" t="s">
        <v>64</v>
      </c>
      <c r="H105" s="9" t="s">
        <v>65</v>
      </c>
      <c r="I105" s="9" t="s">
        <v>383</v>
      </c>
      <c r="J105" s="11" t="n">
        <v>0</v>
      </c>
      <c r="K105" s="11" t="n">
        <v>2000</v>
      </c>
      <c r="L105" s="7" t="s">
        <v>67</v>
      </c>
    </row>
    <row r="106" customFormat="false" ht="15" hidden="false" customHeight="false" outlineLevel="0" collapsed="false">
      <c r="A106" s="12" t="n">
        <v>102</v>
      </c>
      <c r="B106" s="15" t="s">
        <v>3</v>
      </c>
      <c r="C106" s="14" t="s">
        <v>377</v>
      </c>
      <c r="D106" s="14" t="s">
        <v>384</v>
      </c>
      <c r="E106" s="14" t="s">
        <v>385</v>
      </c>
      <c r="F106" s="12" t="s">
        <v>71</v>
      </c>
      <c r="G106" s="18" t="s">
        <v>84</v>
      </c>
      <c r="H106" s="14" t="s">
        <v>65</v>
      </c>
      <c r="I106" s="14" t="s">
        <v>386</v>
      </c>
      <c r="J106" s="11" t="n">
        <v>0</v>
      </c>
      <c r="K106" s="11" t="n">
        <v>0</v>
      </c>
      <c r="L106" s="12" t="s">
        <v>86</v>
      </c>
    </row>
    <row r="107" customFormat="false" ht="15" hidden="false" customHeight="false" outlineLevel="0" collapsed="false">
      <c r="I107" s="20" t="s">
        <v>387</v>
      </c>
      <c r="J107" s="21" t="n">
        <f aca="false">SUM(J5:J106)</f>
        <v>795000</v>
      </c>
      <c r="K107" s="21" t="n">
        <f aca="false">SUM(K5:K106)</f>
        <v>1259500</v>
      </c>
    </row>
  </sheetData>
  <autoFilter ref="A4:L106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22" t="s">
        <v>388</v>
      </c>
      <c r="B1" s="22"/>
      <c r="C1" s="22"/>
      <c r="D1" s="22"/>
      <c r="E1" s="22"/>
    </row>
    <row r="2" customFormat="false" ht="15.75" hidden="false" customHeight="true" outlineLevel="0" collapsed="false">
      <c r="A2" s="2" t="s">
        <v>389</v>
      </c>
      <c r="B2" s="2"/>
      <c r="C2" s="2"/>
      <c r="D2" s="2"/>
      <c r="E2" s="2"/>
    </row>
    <row r="4" customFormat="false" ht="43.5" hidden="false" customHeight="true" outlineLevel="0" collapsed="false">
      <c r="A4" s="23" t="s">
        <v>390</v>
      </c>
      <c r="B4" s="23"/>
      <c r="C4" s="23"/>
      <c r="D4" s="23"/>
      <c r="E4" s="23"/>
    </row>
    <row r="6" customFormat="false" ht="15" hidden="false" customHeight="false" outlineLevel="0" collapsed="false">
      <c r="A6" s="6" t="s">
        <v>25</v>
      </c>
      <c r="B6" s="6" t="s">
        <v>391</v>
      </c>
      <c r="C6" s="6" t="s">
        <v>392</v>
      </c>
      <c r="D6" s="6" t="s">
        <v>393</v>
      </c>
      <c r="E6" s="6" t="s">
        <v>394</v>
      </c>
    </row>
    <row r="7" customFormat="false" ht="15" hidden="false" customHeight="false" outlineLevel="0" collapsed="false">
      <c r="A7" s="10" t="s">
        <v>48</v>
      </c>
      <c r="B7" s="9" t="s">
        <v>395</v>
      </c>
      <c r="C7" s="9" t="s">
        <v>396</v>
      </c>
      <c r="D7" s="9" t="s">
        <v>55</v>
      </c>
      <c r="E7" s="9" t="s">
        <v>397</v>
      </c>
    </row>
    <row r="8" customFormat="false" ht="15" hidden="false" customHeight="false" outlineLevel="0" collapsed="false">
      <c r="A8" s="10" t="s">
        <v>48</v>
      </c>
      <c r="B8" s="14" t="s">
        <v>398</v>
      </c>
      <c r="C8" s="14" t="s">
        <v>399</v>
      </c>
      <c r="D8" s="14" t="s">
        <v>400</v>
      </c>
      <c r="E8" s="14" t="s">
        <v>401</v>
      </c>
    </row>
    <row r="9" customFormat="false" ht="19.4" hidden="false" customHeight="false" outlineLevel="0" collapsed="false">
      <c r="A9" s="10" t="s">
        <v>48</v>
      </c>
      <c r="B9" s="9" t="s">
        <v>402</v>
      </c>
      <c r="C9" s="9" t="s">
        <v>403</v>
      </c>
      <c r="D9" s="9" t="s">
        <v>309</v>
      </c>
      <c r="E9" s="9" t="s">
        <v>404</v>
      </c>
    </row>
    <row r="10" customFormat="false" ht="15" hidden="false" customHeight="false" outlineLevel="0" collapsed="false">
      <c r="A10" s="10" t="s">
        <v>48</v>
      </c>
      <c r="B10" s="14" t="s">
        <v>405</v>
      </c>
      <c r="C10" s="14" t="s">
        <v>406</v>
      </c>
      <c r="D10" s="14" t="s">
        <v>407</v>
      </c>
      <c r="E10" s="14" t="s">
        <v>408</v>
      </c>
    </row>
    <row r="11" customFormat="false" ht="15" hidden="false" customHeight="false" outlineLevel="0" collapsed="false">
      <c r="A11" s="10" t="s">
        <v>48</v>
      </c>
      <c r="B11" s="9" t="s">
        <v>409</v>
      </c>
      <c r="C11" s="9" t="s">
        <v>410</v>
      </c>
      <c r="D11" s="9" t="s">
        <v>411</v>
      </c>
      <c r="E11" s="9" t="s">
        <v>412</v>
      </c>
    </row>
    <row r="12" customFormat="false" ht="19.4" hidden="false" customHeight="false" outlineLevel="0" collapsed="false">
      <c r="A12" s="16" t="s">
        <v>64</v>
      </c>
      <c r="B12" s="14" t="s">
        <v>413</v>
      </c>
      <c r="C12" s="14" t="s">
        <v>414</v>
      </c>
      <c r="D12" s="14" t="s">
        <v>415</v>
      </c>
      <c r="E12" s="14" t="s">
        <v>416</v>
      </c>
    </row>
    <row r="13" customFormat="false" ht="15" hidden="false" customHeight="false" outlineLevel="0" collapsed="false">
      <c r="A13" s="16" t="s">
        <v>64</v>
      </c>
      <c r="B13" s="9" t="s">
        <v>417</v>
      </c>
      <c r="C13" s="9" t="s">
        <v>418</v>
      </c>
      <c r="D13" s="9" t="s">
        <v>419</v>
      </c>
      <c r="E13" s="9" t="s">
        <v>420</v>
      </c>
    </row>
    <row r="14" customFormat="false" ht="15" hidden="false" customHeight="false" outlineLevel="0" collapsed="false">
      <c r="A14" s="16" t="s">
        <v>64</v>
      </c>
      <c r="B14" s="14" t="s">
        <v>421</v>
      </c>
      <c r="C14" s="14" t="s">
        <v>422</v>
      </c>
      <c r="D14" s="14" t="s">
        <v>423</v>
      </c>
      <c r="E14" s="14" t="s">
        <v>424</v>
      </c>
    </row>
    <row r="15" customFormat="false" ht="15" hidden="false" customHeight="false" outlineLevel="0" collapsed="false">
      <c r="A15" s="16" t="s">
        <v>64</v>
      </c>
      <c r="B15" s="9" t="s">
        <v>425</v>
      </c>
      <c r="C15" s="9" t="s">
        <v>426</v>
      </c>
      <c r="D15" s="9" t="s">
        <v>419</v>
      </c>
      <c r="E15" s="9" t="s">
        <v>427</v>
      </c>
    </row>
    <row r="16" customFormat="false" ht="15" hidden="false" customHeight="false" outlineLevel="0" collapsed="false">
      <c r="A16" s="16" t="s">
        <v>64</v>
      </c>
      <c r="B16" s="14" t="s">
        <v>428</v>
      </c>
      <c r="C16" s="14" t="s">
        <v>429</v>
      </c>
      <c r="D16" s="14" t="s">
        <v>430</v>
      </c>
      <c r="E16" s="14" t="s">
        <v>431</v>
      </c>
    </row>
    <row r="17" customFormat="false" ht="15" hidden="false" customHeight="false" outlineLevel="0" collapsed="false">
      <c r="A17" s="16" t="s">
        <v>64</v>
      </c>
      <c r="B17" s="9" t="s">
        <v>432</v>
      </c>
      <c r="C17" s="9" t="s">
        <v>433</v>
      </c>
      <c r="D17" s="9" t="s">
        <v>419</v>
      </c>
      <c r="E17" s="9" t="s">
        <v>434</v>
      </c>
    </row>
    <row r="18" customFormat="false" ht="15" hidden="false" customHeight="false" outlineLevel="0" collapsed="false">
      <c r="A18" s="18" t="s">
        <v>84</v>
      </c>
      <c r="B18" s="14" t="s">
        <v>432</v>
      </c>
      <c r="C18" s="14" t="s">
        <v>435</v>
      </c>
      <c r="D18" s="14" t="s">
        <v>60</v>
      </c>
      <c r="E18" s="14" t="s">
        <v>436</v>
      </c>
    </row>
    <row r="19" customFormat="false" ht="15" hidden="false" customHeight="false" outlineLevel="0" collapsed="false">
      <c r="A19" s="18" t="s">
        <v>84</v>
      </c>
      <c r="B19" s="9" t="s">
        <v>437</v>
      </c>
      <c r="C19" s="9" t="s">
        <v>438</v>
      </c>
      <c r="D19" s="9" t="s">
        <v>439</v>
      </c>
      <c r="E19" s="9" t="s">
        <v>440</v>
      </c>
    </row>
    <row r="20" customFormat="false" ht="15" hidden="false" customHeight="false" outlineLevel="0" collapsed="false">
      <c r="A20" s="19" t="s">
        <v>220</v>
      </c>
      <c r="B20" s="14" t="s">
        <v>441</v>
      </c>
      <c r="C20" s="14" t="s">
        <v>442</v>
      </c>
      <c r="D20" s="14" t="s">
        <v>419</v>
      </c>
      <c r="E20" s="14" t="s">
        <v>443</v>
      </c>
    </row>
  </sheetData>
  <mergeCells count="3">
    <mergeCell ref="A1:E1"/>
    <mergeCell ref="A2:E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24" t="s">
        <v>444</v>
      </c>
      <c r="B1" s="24"/>
      <c r="C1" s="24"/>
      <c r="D1" s="24"/>
      <c r="E1" s="24"/>
    </row>
    <row r="2" customFormat="false" ht="15.75" hidden="false" customHeight="true" outlineLevel="0" collapsed="false">
      <c r="A2" s="2" t="s">
        <v>445</v>
      </c>
      <c r="B2" s="2"/>
      <c r="C2" s="2"/>
      <c r="D2" s="2"/>
      <c r="E2" s="2"/>
    </row>
    <row r="4" customFormat="false" ht="43.5" hidden="false" customHeight="true" outlineLevel="0" collapsed="false">
      <c r="A4" s="23" t="s">
        <v>446</v>
      </c>
      <c r="B4" s="23"/>
      <c r="C4" s="23"/>
      <c r="D4" s="23"/>
      <c r="E4" s="23"/>
    </row>
    <row r="6" customFormat="false" ht="15" hidden="false" customHeight="false" outlineLevel="0" collapsed="false">
      <c r="A6" s="6" t="s">
        <v>25</v>
      </c>
      <c r="B6" s="6" t="s">
        <v>391</v>
      </c>
      <c r="C6" s="6" t="s">
        <v>392</v>
      </c>
      <c r="D6" s="6" t="s">
        <v>393</v>
      </c>
      <c r="E6" s="6" t="s">
        <v>394</v>
      </c>
    </row>
    <row r="7" customFormat="false" ht="15" hidden="false" customHeight="false" outlineLevel="0" collapsed="false">
      <c r="A7" s="10" t="s">
        <v>48</v>
      </c>
      <c r="B7" s="9" t="s">
        <v>447</v>
      </c>
      <c r="C7" s="9" t="s">
        <v>448</v>
      </c>
      <c r="D7" s="9" t="s">
        <v>449</v>
      </c>
      <c r="E7" s="9" t="s">
        <v>450</v>
      </c>
    </row>
    <row r="8" customFormat="false" ht="15" hidden="false" customHeight="false" outlineLevel="0" collapsed="false">
      <c r="A8" s="10" t="s">
        <v>48</v>
      </c>
      <c r="B8" s="14" t="s">
        <v>451</v>
      </c>
      <c r="C8" s="14" t="s">
        <v>452</v>
      </c>
      <c r="D8" s="14" t="s">
        <v>453</v>
      </c>
      <c r="E8" s="14" t="s">
        <v>454</v>
      </c>
    </row>
    <row r="9" customFormat="false" ht="15" hidden="false" customHeight="false" outlineLevel="0" collapsed="false">
      <c r="A9" s="10" t="s">
        <v>48</v>
      </c>
      <c r="B9" s="9" t="s">
        <v>455</v>
      </c>
      <c r="C9" s="9" t="s">
        <v>456</v>
      </c>
      <c r="D9" s="9" t="s">
        <v>50</v>
      </c>
      <c r="E9" s="9" t="s">
        <v>457</v>
      </c>
    </row>
    <row r="10" customFormat="false" ht="19.4" hidden="false" customHeight="false" outlineLevel="0" collapsed="false">
      <c r="A10" s="16" t="s">
        <v>64</v>
      </c>
      <c r="B10" s="14" t="s">
        <v>458</v>
      </c>
      <c r="C10" s="14" t="s">
        <v>459</v>
      </c>
      <c r="D10" s="14" t="s">
        <v>460</v>
      </c>
      <c r="E10" s="14" t="s">
        <v>461</v>
      </c>
    </row>
    <row r="11" customFormat="false" ht="15" hidden="false" customHeight="false" outlineLevel="0" collapsed="false">
      <c r="A11" s="16" t="s">
        <v>64</v>
      </c>
      <c r="B11" s="9" t="s">
        <v>409</v>
      </c>
      <c r="C11" s="9" t="s">
        <v>462</v>
      </c>
      <c r="D11" s="9" t="s">
        <v>419</v>
      </c>
      <c r="E11" s="9" t="s">
        <v>463</v>
      </c>
    </row>
    <row r="12" customFormat="false" ht="15" hidden="false" customHeight="false" outlineLevel="0" collapsed="false">
      <c r="A12" s="16" t="s">
        <v>64</v>
      </c>
      <c r="B12" s="14" t="s">
        <v>417</v>
      </c>
      <c r="C12" s="14" t="s">
        <v>464</v>
      </c>
      <c r="D12" s="14" t="s">
        <v>50</v>
      </c>
      <c r="E12" s="14" t="s">
        <v>465</v>
      </c>
    </row>
    <row r="13" customFormat="false" ht="15" hidden="false" customHeight="false" outlineLevel="0" collapsed="false">
      <c r="A13" s="16" t="s">
        <v>64</v>
      </c>
      <c r="B13" s="9" t="s">
        <v>421</v>
      </c>
      <c r="C13" s="9" t="s">
        <v>466</v>
      </c>
      <c r="D13" s="9" t="s">
        <v>467</v>
      </c>
      <c r="E13" s="9" t="s">
        <v>468</v>
      </c>
    </row>
    <row r="14" customFormat="false" ht="19.4" hidden="false" customHeight="false" outlineLevel="0" collapsed="false">
      <c r="A14" s="18" t="s">
        <v>84</v>
      </c>
      <c r="B14" s="14" t="s">
        <v>432</v>
      </c>
      <c r="C14" s="14" t="s">
        <v>469</v>
      </c>
      <c r="D14" s="14" t="s">
        <v>419</v>
      </c>
      <c r="E14" s="14" t="s">
        <v>470</v>
      </c>
    </row>
    <row r="15" customFormat="false" ht="19.4" hidden="false" customHeight="false" outlineLevel="0" collapsed="false">
      <c r="A15" s="18" t="s">
        <v>84</v>
      </c>
      <c r="B15" s="9" t="s">
        <v>471</v>
      </c>
      <c r="C15" s="9" t="s">
        <v>472</v>
      </c>
      <c r="D15" s="9" t="s">
        <v>312</v>
      </c>
      <c r="E15" s="9" t="s">
        <v>473</v>
      </c>
    </row>
    <row r="16" customFormat="false" ht="15" hidden="false" customHeight="false" outlineLevel="0" collapsed="false">
      <c r="A16" s="19" t="s">
        <v>220</v>
      </c>
      <c r="B16" s="14" t="s">
        <v>474</v>
      </c>
      <c r="C16" s="14" t="s">
        <v>475</v>
      </c>
      <c r="D16" s="14" t="s">
        <v>60</v>
      </c>
      <c r="E16" s="14" t="s">
        <v>476</v>
      </c>
    </row>
  </sheetData>
  <mergeCells count="3">
    <mergeCell ref="A1:E1"/>
    <mergeCell ref="A2:E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25" t="s">
        <v>477</v>
      </c>
      <c r="B1" s="25"/>
      <c r="C1" s="25"/>
      <c r="D1" s="25"/>
      <c r="E1" s="25"/>
    </row>
    <row r="2" customFormat="false" ht="15.75" hidden="false" customHeight="true" outlineLevel="0" collapsed="false">
      <c r="A2" s="2" t="s">
        <v>478</v>
      </c>
      <c r="B2" s="2"/>
      <c r="C2" s="2"/>
      <c r="D2" s="2"/>
      <c r="E2" s="2"/>
    </row>
    <row r="4" customFormat="false" ht="43.5" hidden="false" customHeight="true" outlineLevel="0" collapsed="false">
      <c r="A4" s="23" t="s">
        <v>479</v>
      </c>
      <c r="B4" s="23"/>
      <c r="C4" s="23"/>
      <c r="D4" s="23"/>
      <c r="E4" s="23"/>
    </row>
    <row r="6" customFormat="false" ht="15" hidden="false" customHeight="false" outlineLevel="0" collapsed="false">
      <c r="A6" s="6" t="s">
        <v>25</v>
      </c>
      <c r="B6" s="6" t="s">
        <v>391</v>
      </c>
      <c r="C6" s="6" t="s">
        <v>392</v>
      </c>
      <c r="D6" s="6" t="s">
        <v>393</v>
      </c>
      <c r="E6" s="6" t="s">
        <v>394</v>
      </c>
    </row>
    <row r="7" customFormat="false" ht="19.4" hidden="false" customHeight="false" outlineLevel="0" collapsed="false">
      <c r="A7" s="10" t="s">
        <v>48</v>
      </c>
      <c r="B7" s="9" t="s">
        <v>480</v>
      </c>
      <c r="C7" s="9" t="s">
        <v>481</v>
      </c>
      <c r="D7" s="9" t="s">
        <v>482</v>
      </c>
      <c r="E7" s="9" t="s">
        <v>483</v>
      </c>
    </row>
    <row r="8" customFormat="false" ht="15" hidden="false" customHeight="false" outlineLevel="0" collapsed="false">
      <c r="A8" s="10" t="s">
        <v>48</v>
      </c>
      <c r="B8" s="14" t="s">
        <v>484</v>
      </c>
      <c r="C8" s="14" t="s">
        <v>485</v>
      </c>
      <c r="D8" s="14" t="s">
        <v>419</v>
      </c>
      <c r="E8" s="14" t="s">
        <v>486</v>
      </c>
    </row>
    <row r="9" customFormat="false" ht="15" hidden="false" customHeight="false" outlineLevel="0" collapsed="false">
      <c r="A9" s="16" t="s">
        <v>64</v>
      </c>
      <c r="B9" s="9" t="s">
        <v>487</v>
      </c>
      <c r="C9" s="9" t="s">
        <v>488</v>
      </c>
      <c r="D9" s="9" t="s">
        <v>489</v>
      </c>
      <c r="E9" s="9" t="s">
        <v>490</v>
      </c>
    </row>
    <row r="10" customFormat="false" ht="15" hidden="false" customHeight="false" outlineLevel="0" collapsed="false">
      <c r="A10" s="16" t="s">
        <v>64</v>
      </c>
      <c r="B10" s="14" t="s">
        <v>491</v>
      </c>
      <c r="C10" s="14" t="s">
        <v>492</v>
      </c>
      <c r="D10" s="14" t="s">
        <v>376</v>
      </c>
      <c r="E10" s="14" t="s">
        <v>493</v>
      </c>
    </row>
    <row r="11" customFormat="false" ht="19.4" hidden="false" customHeight="false" outlineLevel="0" collapsed="false">
      <c r="A11" s="16" t="s">
        <v>64</v>
      </c>
      <c r="B11" s="9" t="s">
        <v>494</v>
      </c>
      <c r="C11" s="9" t="s">
        <v>495</v>
      </c>
      <c r="D11" s="9" t="s">
        <v>43</v>
      </c>
      <c r="E11" s="9" t="s">
        <v>496</v>
      </c>
    </row>
    <row r="12" customFormat="false" ht="15" hidden="false" customHeight="false" outlineLevel="0" collapsed="false">
      <c r="A12" s="18" t="s">
        <v>84</v>
      </c>
      <c r="B12" s="14" t="s">
        <v>497</v>
      </c>
      <c r="C12" s="14" t="s">
        <v>498</v>
      </c>
      <c r="D12" s="14" t="s">
        <v>407</v>
      </c>
      <c r="E12" s="14" t="s">
        <v>499</v>
      </c>
    </row>
    <row r="13" customFormat="false" ht="15" hidden="false" customHeight="false" outlineLevel="0" collapsed="false">
      <c r="A13" s="18" t="s">
        <v>84</v>
      </c>
      <c r="B13" s="9" t="s">
        <v>179</v>
      </c>
      <c r="C13" s="9" t="s">
        <v>500</v>
      </c>
      <c r="D13" s="9" t="s">
        <v>501</v>
      </c>
      <c r="E13" s="9" t="s">
        <v>502</v>
      </c>
    </row>
    <row r="14" customFormat="false" ht="15" hidden="false" customHeight="false" outlineLevel="0" collapsed="false">
      <c r="A14" s="19" t="s">
        <v>220</v>
      </c>
      <c r="B14" s="14" t="s">
        <v>503</v>
      </c>
      <c r="C14" s="14" t="s">
        <v>504</v>
      </c>
      <c r="D14" s="14" t="s">
        <v>43</v>
      </c>
      <c r="E14" s="14" t="s">
        <v>505</v>
      </c>
    </row>
  </sheetData>
  <mergeCells count="3">
    <mergeCell ref="A1:E1"/>
    <mergeCell ref="A2:E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26" t="s">
        <v>506</v>
      </c>
      <c r="B1" s="26"/>
      <c r="C1" s="26"/>
      <c r="D1" s="26"/>
      <c r="E1" s="26"/>
    </row>
    <row r="2" customFormat="false" ht="15.75" hidden="false" customHeight="true" outlineLevel="0" collapsed="false">
      <c r="A2" s="2" t="s">
        <v>507</v>
      </c>
      <c r="B2" s="2"/>
      <c r="C2" s="2"/>
      <c r="D2" s="2"/>
      <c r="E2" s="2"/>
    </row>
    <row r="4" customFormat="false" ht="43.5" hidden="false" customHeight="true" outlineLevel="0" collapsed="false">
      <c r="A4" s="23" t="s">
        <v>508</v>
      </c>
      <c r="B4" s="23"/>
      <c r="C4" s="23"/>
      <c r="D4" s="23"/>
      <c r="E4" s="23"/>
    </row>
    <row r="6" customFormat="false" ht="15" hidden="false" customHeight="false" outlineLevel="0" collapsed="false">
      <c r="A6" s="6" t="s">
        <v>25</v>
      </c>
      <c r="B6" s="6" t="s">
        <v>391</v>
      </c>
      <c r="C6" s="6" t="s">
        <v>392</v>
      </c>
      <c r="D6" s="6" t="s">
        <v>393</v>
      </c>
      <c r="E6" s="6" t="s">
        <v>394</v>
      </c>
    </row>
    <row r="7" customFormat="false" ht="19.4" hidden="false" customHeight="false" outlineLevel="0" collapsed="false">
      <c r="A7" s="10" t="s">
        <v>48</v>
      </c>
      <c r="B7" s="9" t="s">
        <v>509</v>
      </c>
      <c r="C7" s="9" t="s">
        <v>510</v>
      </c>
      <c r="D7" s="9" t="s">
        <v>511</v>
      </c>
      <c r="E7" s="9" t="s">
        <v>512</v>
      </c>
    </row>
    <row r="8" customFormat="false" ht="19.4" hidden="false" customHeight="false" outlineLevel="0" collapsed="false">
      <c r="A8" s="16" t="s">
        <v>64</v>
      </c>
      <c r="B8" s="14" t="s">
        <v>513</v>
      </c>
      <c r="C8" s="14" t="s">
        <v>514</v>
      </c>
      <c r="D8" s="14" t="s">
        <v>515</v>
      </c>
      <c r="E8" s="14" t="s">
        <v>516</v>
      </c>
    </row>
    <row r="9" customFormat="false" ht="15" hidden="false" customHeight="false" outlineLevel="0" collapsed="false">
      <c r="A9" s="16" t="s">
        <v>64</v>
      </c>
      <c r="B9" s="9" t="s">
        <v>517</v>
      </c>
      <c r="C9" s="9" t="s">
        <v>518</v>
      </c>
      <c r="D9" s="9" t="s">
        <v>419</v>
      </c>
      <c r="E9" s="9" t="s">
        <v>519</v>
      </c>
    </row>
    <row r="10" customFormat="false" ht="19.4" hidden="false" customHeight="false" outlineLevel="0" collapsed="false">
      <c r="A10" s="16" t="s">
        <v>64</v>
      </c>
      <c r="B10" s="14" t="s">
        <v>520</v>
      </c>
      <c r="C10" s="14" t="s">
        <v>521</v>
      </c>
      <c r="D10" s="14" t="s">
        <v>419</v>
      </c>
      <c r="E10" s="14" t="s">
        <v>522</v>
      </c>
    </row>
    <row r="11" customFormat="false" ht="19.4" hidden="false" customHeight="false" outlineLevel="0" collapsed="false">
      <c r="A11" s="18" t="s">
        <v>84</v>
      </c>
      <c r="B11" s="9" t="s">
        <v>523</v>
      </c>
      <c r="C11" s="9" t="s">
        <v>524</v>
      </c>
      <c r="D11" s="9" t="s">
        <v>460</v>
      </c>
      <c r="E11" s="9" t="s">
        <v>525</v>
      </c>
    </row>
    <row r="12" customFormat="false" ht="15" hidden="false" customHeight="false" outlineLevel="0" collapsed="false">
      <c r="A12" s="18" t="s">
        <v>84</v>
      </c>
      <c r="B12" s="14" t="s">
        <v>526</v>
      </c>
      <c r="C12" s="14" t="s">
        <v>527</v>
      </c>
      <c r="D12" s="14" t="s">
        <v>419</v>
      </c>
      <c r="E12" s="14" t="s">
        <v>528</v>
      </c>
    </row>
    <row r="13" customFormat="false" ht="15" hidden="false" customHeight="false" outlineLevel="0" collapsed="false">
      <c r="A13" s="19" t="s">
        <v>220</v>
      </c>
      <c r="B13" s="9" t="s">
        <v>529</v>
      </c>
      <c r="C13" s="9" t="s">
        <v>530</v>
      </c>
      <c r="D13" s="9" t="s">
        <v>515</v>
      </c>
      <c r="E13" s="9" t="s">
        <v>531</v>
      </c>
    </row>
  </sheetData>
  <mergeCells count="3">
    <mergeCell ref="A1:E1"/>
    <mergeCell ref="A2:E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9"/>
  </cols>
  <sheetData>
    <row r="1" customFormat="false" ht="27.75" hidden="false" customHeight="true" outlineLevel="0" collapsed="false">
      <c r="A1" s="27" t="s">
        <v>532</v>
      </c>
      <c r="B1" s="27"/>
      <c r="C1" s="27"/>
      <c r="D1" s="27"/>
      <c r="E1" s="27"/>
      <c r="F1" s="27"/>
    </row>
    <row r="2" customFormat="false" ht="15.75" hidden="false" customHeight="true" outlineLevel="0" collapsed="false">
      <c r="A2" s="2" t="s">
        <v>533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6" t="s">
        <v>534</v>
      </c>
      <c r="B4" s="6" t="s">
        <v>535</v>
      </c>
      <c r="C4" s="6" t="s">
        <v>536</v>
      </c>
      <c r="D4" s="6" t="s">
        <v>537</v>
      </c>
      <c r="E4" s="6" t="s">
        <v>538</v>
      </c>
      <c r="F4" s="6" t="s">
        <v>25</v>
      </c>
    </row>
    <row r="5" customFormat="false" ht="19.4" hidden="false" customHeight="false" outlineLevel="0" collapsed="false">
      <c r="A5" s="9" t="s">
        <v>539</v>
      </c>
      <c r="B5" s="9" t="s">
        <v>540</v>
      </c>
      <c r="C5" s="9" t="s">
        <v>541</v>
      </c>
      <c r="D5" s="9" t="s">
        <v>542</v>
      </c>
      <c r="E5" s="7" t="s">
        <v>543</v>
      </c>
      <c r="F5" s="16" t="s">
        <v>64</v>
      </c>
    </row>
    <row r="6" customFormat="false" ht="15" hidden="false" customHeight="false" outlineLevel="0" collapsed="false">
      <c r="A6" s="14" t="s">
        <v>544</v>
      </c>
      <c r="B6" s="14" t="s">
        <v>545</v>
      </c>
      <c r="C6" s="14" t="s">
        <v>546</v>
      </c>
      <c r="D6" s="14" t="s">
        <v>547</v>
      </c>
      <c r="E6" s="12" t="s">
        <v>548</v>
      </c>
      <c r="F6" s="16" t="s">
        <v>64</v>
      </c>
    </row>
    <row r="7" customFormat="false" ht="15" hidden="false" customHeight="false" outlineLevel="0" collapsed="false">
      <c r="A7" s="9" t="s">
        <v>549</v>
      </c>
      <c r="B7" s="9" t="s">
        <v>550</v>
      </c>
      <c r="C7" s="9" t="s">
        <v>551</v>
      </c>
      <c r="D7" s="9" t="s">
        <v>552</v>
      </c>
      <c r="E7" s="7" t="s">
        <v>553</v>
      </c>
      <c r="F7" s="16" t="s">
        <v>64</v>
      </c>
    </row>
    <row r="8" customFormat="false" ht="15" hidden="false" customHeight="false" outlineLevel="0" collapsed="false">
      <c r="A8" s="14" t="s">
        <v>554</v>
      </c>
      <c r="B8" s="14" t="s">
        <v>555</v>
      </c>
      <c r="C8" s="14" t="s">
        <v>556</v>
      </c>
      <c r="D8" s="14" t="s">
        <v>557</v>
      </c>
      <c r="E8" s="12" t="s">
        <v>558</v>
      </c>
      <c r="F8" s="18" t="s">
        <v>84</v>
      </c>
    </row>
    <row r="9" customFormat="false" ht="15" hidden="false" customHeight="false" outlineLevel="0" collapsed="false">
      <c r="A9" s="9" t="s">
        <v>559</v>
      </c>
      <c r="B9" s="9" t="s">
        <v>108</v>
      </c>
      <c r="C9" s="9" t="s">
        <v>560</v>
      </c>
      <c r="D9" s="9" t="s">
        <v>561</v>
      </c>
      <c r="E9" s="7" t="s">
        <v>562</v>
      </c>
      <c r="F9" s="16" t="s">
        <v>64</v>
      </c>
    </row>
    <row r="10" customFormat="false" ht="15" hidden="false" customHeight="false" outlineLevel="0" collapsed="false">
      <c r="A10" s="14" t="s">
        <v>563</v>
      </c>
      <c r="B10" s="14" t="s">
        <v>564</v>
      </c>
      <c r="C10" s="14" t="s">
        <v>565</v>
      </c>
      <c r="D10" s="14" t="s">
        <v>566</v>
      </c>
      <c r="E10" s="12" t="s">
        <v>567</v>
      </c>
      <c r="F10" s="10" t="s">
        <v>48</v>
      </c>
    </row>
    <row r="11" customFormat="false" ht="15" hidden="false" customHeight="false" outlineLevel="0" collapsed="false">
      <c r="A11" s="9" t="s">
        <v>568</v>
      </c>
      <c r="B11" s="9" t="s">
        <v>569</v>
      </c>
      <c r="C11" s="9" t="s">
        <v>570</v>
      </c>
      <c r="D11" s="9" t="s">
        <v>571</v>
      </c>
      <c r="E11" s="7" t="s">
        <v>567</v>
      </c>
      <c r="F11" s="16" t="s">
        <v>64</v>
      </c>
    </row>
    <row r="12" customFormat="false" ht="15" hidden="false" customHeight="false" outlineLevel="0" collapsed="false">
      <c r="A12" s="14" t="s">
        <v>572</v>
      </c>
      <c r="B12" s="14" t="s">
        <v>573</v>
      </c>
      <c r="C12" s="14" t="s">
        <v>574</v>
      </c>
      <c r="D12" s="14" t="s">
        <v>575</v>
      </c>
      <c r="E12" s="12" t="s">
        <v>576</v>
      </c>
      <c r="F12" s="18" t="s">
        <v>84</v>
      </c>
    </row>
    <row r="13" customFormat="false" ht="15" hidden="false" customHeight="false" outlineLevel="0" collapsed="false">
      <c r="A13" s="9" t="s">
        <v>577</v>
      </c>
      <c r="B13" s="9" t="s">
        <v>578</v>
      </c>
      <c r="C13" s="9" t="s">
        <v>579</v>
      </c>
      <c r="D13" s="9" t="s">
        <v>580</v>
      </c>
      <c r="E13" s="7" t="s">
        <v>581</v>
      </c>
      <c r="F13" s="10" t="s">
        <v>48</v>
      </c>
    </row>
    <row r="14" customFormat="false" ht="15" hidden="false" customHeight="false" outlineLevel="0" collapsed="false">
      <c r="A14" s="14" t="s">
        <v>582</v>
      </c>
      <c r="B14" s="14" t="s">
        <v>583</v>
      </c>
      <c r="C14" s="14" t="s">
        <v>584</v>
      </c>
      <c r="D14" s="14" t="s">
        <v>585</v>
      </c>
      <c r="E14" s="12" t="s">
        <v>586</v>
      </c>
      <c r="F14" s="18" t="s">
        <v>84</v>
      </c>
    </row>
    <row r="15" customFormat="false" ht="15" hidden="false" customHeight="false" outlineLevel="0" collapsed="false">
      <c r="A15" s="9" t="s">
        <v>587</v>
      </c>
      <c r="B15" s="9" t="s">
        <v>588</v>
      </c>
      <c r="C15" s="9" t="s">
        <v>589</v>
      </c>
      <c r="D15" s="9" t="s">
        <v>590</v>
      </c>
      <c r="E15" s="7" t="s">
        <v>591</v>
      </c>
      <c r="F15" s="18" t="s">
        <v>84</v>
      </c>
    </row>
    <row r="16" customFormat="false" ht="15" hidden="false" customHeight="false" outlineLevel="0" collapsed="false">
      <c r="A16" s="14" t="s">
        <v>592</v>
      </c>
      <c r="B16" s="14" t="s">
        <v>127</v>
      </c>
      <c r="C16" s="14" t="s">
        <v>593</v>
      </c>
      <c r="D16" s="14" t="s">
        <v>594</v>
      </c>
      <c r="E16" s="12" t="s">
        <v>595</v>
      </c>
      <c r="F16" s="10" t="s">
        <v>48</v>
      </c>
    </row>
    <row r="17" customFormat="false" ht="15" hidden="false" customHeight="false" outlineLevel="0" collapsed="false">
      <c r="A17" s="9" t="s">
        <v>596</v>
      </c>
      <c r="B17" s="9" t="s">
        <v>195</v>
      </c>
      <c r="C17" s="9" t="s">
        <v>597</v>
      </c>
      <c r="D17" s="9" t="s">
        <v>598</v>
      </c>
      <c r="E17" s="7" t="s">
        <v>599</v>
      </c>
      <c r="F17" s="16" t="s">
        <v>64</v>
      </c>
    </row>
    <row r="18" customFormat="false" ht="15" hidden="false" customHeight="false" outlineLevel="0" collapsed="false">
      <c r="A18" s="14" t="s">
        <v>600</v>
      </c>
      <c r="B18" s="14" t="s">
        <v>192</v>
      </c>
      <c r="C18" s="14" t="s">
        <v>601</v>
      </c>
      <c r="D18" s="14" t="s">
        <v>602</v>
      </c>
      <c r="E18" s="12" t="s">
        <v>603</v>
      </c>
      <c r="F18" s="16" t="s">
        <v>64</v>
      </c>
    </row>
    <row r="19" customFormat="false" ht="15" hidden="false" customHeight="false" outlineLevel="0" collapsed="false">
      <c r="A19" s="9" t="s">
        <v>604</v>
      </c>
      <c r="B19" s="9" t="s">
        <v>198</v>
      </c>
      <c r="C19" s="9" t="s">
        <v>605</v>
      </c>
      <c r="D19" s="9" t="s">
        <v>606</v>
      </c>
      <c r="E19" s="7" t="s">
        <v>607</v>
      </c>
      <c r="F19" s="18" t="s">
        <v>84</v>
      </c>
    </row>
    <row r="20" customFormat="false" ht="15" hidden="false" customHeight="false" outlineLevel="0" collapsed="false">
      <c r="A20" s="14" t="s">
        <v>179</v>
      </c>
      <c r="B20" s="14" t="s">
        <v>189</v>
      </c>
      <c r="C20" s="14" t="s">
        <v>608</v>
      </c>
      <c r="D20" s="14" t="s">
        <v>609</v>
      </c>
      <c r="E20" s="12" t="s">
        <v>610</v>
      </c>
      <c r="F20" s="10" t="s">
        <v>48</v>
      </c>
    </row>
    <row r="21" customFormat="false" ht="15" hidden="false" customHeight="false" outlineLevel="0" collapsed="false">
      <c r="A21" s="9" t="s">
        <v>611</v>
      </c>
      <c r="B21" s="9" t="s">
        <v>173</v>
      </c>
      <c r="C21" s="9" t="s">
        <v>612</v>
      </c>
      <c r="D21" s="9" t="s">
        <v>613</v>
      </c>
      <c r="E21" s="7" t="s">
        <v>614</v>
      </c>
      <c r="F21" s="16" t="s">
        <v>64</v>
      </c>
    </row>
    <row r="22" customFormat="false" ht="15" hidden="false" customHeight="false" outlineLevel="0" collapsed="false">
      <c r="A22" s="14" t="s">
        <v>615</v>
      </c>
      <c r="B22" s="14" t="s">
        <v>616</v>
      </c>
      <c r="C22" s="14" t="s">
        <v>617</v>
      </c>
      <c r="D22" s="14" t="s">
        <v>618</v>
      </c>
      <c r="E22" s="12" t="s">
        <v>619</v>
      </c>
      <c r="F22" s="16" t="s">
        <v>64</v>
      </c>
    </row>
    <row r="23" customFormat="false" ht="15" hidden="false" customHeight="false" outlineLevel="0" collapsed="false">
      <c r="A23" s="9" t="s">
        <v>620</v>
      </c>
      <c r="B23" s="9" t="s">
        <v>621</v>
      </c>
      <c r="C23" s="9" t="s">
        <v>622</v>
      </c>
      <c r="D23" s="9" t="s">
        <v>623</v>
      </c>
      <c r="E23" s="7" t="s">
        <v>624</v>
      </c>
      <c r="F23" s="16" t="s">
        <v>64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2"/>
    <col collapsed="false" customWidth="true" hidden="false" outlineLevel="0" max="7" min="6" style="0" width="26"/>
  </cols>
  <sheetData>
    <row r="1" customFormat="false" ht="27.75" hidden="false" customHeight="true" outlineLevel="0" collapsed="false">
      <c r="A1" s="28" t="s">
        <v>625</v>
      </c>
      <c r="B1" s="28"/>
      <c r="C1" s="28"/>
      <c r="D1" s="28"/>
      <c r="E1" s="28"/>
      <c r="F1" s="28"/>
      <c r="G1" s="28"/>
    </row>
    <row r="2" customFormat="false" ht="15.75" hidden="false" customHeight="true" outlineLevel="0" collapsed="false">
      <c r="A2" s="2" t="s">
        <v>626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6" t="s">
        <v>33</v>
      </c>
      <c r="B4" s="6" t="s">
        <v>179</v>
      </c>
      <c r="C4" s="6" t="s">
        <v>627</v>
      </c>
      <c r="D4" s="6" t="s">
        <v>34</v>
      </c>
      <c r="E4" s="6" t="s">
        <v>628</v>
      </c>
      <c r="F4" s="6" t="s">
        <v>629</v>
      </c>
      <c r="G4" s="6" t="s">
        <v>630</v>
      </c>
    </row>
    <row r="5" customFormat="false" ht="15" hidden="false" customHeight="false" outlineLevel="0" collapsed="false">
      <c r="A5" s="7" t="n">
        <v>1</v>
      </c>
      <c r="B5" s="9" t="s">
        <v>631</v>
      </c>
      <c r="C5" s="9" t="s">
        <v>632</v>
      </c>
      <c r="D5" s="9" t="s">
        <v>633</v>
      </c>
      <c r="E5" s="9" t="s">
        <v>634</v>
      </c>
      <c r="F5" s="9" t="s">
        <v>635</v>
      </c>
      <c r="G5" s="9" t="s">
        <v>636</v>
      </c>
    </row>
    <row r="6" customFormat="false" ht="15" hidden="false" customHeight="false" outlineLevel="0" collapsed="false">
      <c r="A6" s="12" t="n">
        <v>2</v>
      </c>
      <c r="B6" s="14" t="s">
        <v>637</v>
      </c>
      <c r="C6" s="14" t="s">
        <v>638</v>
      </c>
      <c r="D6" s="14" t="s">
        <v>639</v>
      </c>
      <c r="E6" s="14" t="s">
        <v>640</v>
      </c>
      <c r="F6" s="14" t="s">
        <v>641</v>
      </c>
      <c r="G6" s="14" t="s">
        <v>642</v>
      </c>
    </row>
    <row r="7" customFormat="false" ht="15" hidden="false" customHeight="false" outlineLevel="0" collapsed="false">
      <c r="A7" s="7" t="n">
        <v>3</v>
      </c>
      <c r="B7" s="9" t="s">
        <v>643</v>
      </c>
      <c r="C7" s="9" t="s">
        <v>644</v>
      </c>
      <c r="D7" s="9" t="s">
        <v>633</v>
      </c>
      <c r="E7" s="9" t="s">
        <v>645</v>
      </c>
      <c r="F7" s="9" t="s">
        <v>173</v>
      </c>
      <c r="G7" s="9" t="s">
        <v>646</v>
      </c>
    </row>
    <row r="8" customFormat="false" ht="15" hidden="false" customHeight="false" outlineLevel="0" collapsed="false">
      <c r="A8" s="12" t="n">
        <v>4</v>
      </c>
      <c r="B8" s="14" t="s">
        <v>647</v>
      </c>
      <c r="C8" s="14" t="s">
        <v>644</v>
      </c>
      <c r="D8" s="14" t="s">
        <v>639</v>
      </c>
      <c r="E8" s="14" t="s">
        <v>648</v>
      </c>
      <c r="F8" s="14" t="s">
        <v>649</v>
      </c>
      <c r="G8" s="14" t="s">
        <v>650</v>
      </c>
    </row>
    <row r="9" customFormat="false" ht="15" hidden="false" customHeight="false" outlineLevel="0" collapsed="false">
      <c r="A9" s="7" t="n">
        <v>5</v>
      </c>
      <c r="B9" s="9" t="s">
        <v>651</v>
      </c>
      <c r="C9" s="9" t="s">
        <v>638</v>
      </c>
      <c r="D9" s="9" t="s">
        <v>633</v>
      </c>
      <c r="E9" s="9" t="s">
        <v>652</v>
      </c>
      <c r="F9" s="9" t="s">
        <v>653</v>
      </c>
      <c r="G9" s="9" t="s">
        <v>654</v>
      </c>
    </row>
    <row r="10" customFormat="false" ht="15" hidden="false" customHeight="false" outlineLevel="0" collapsed="false">
      <c r="A10" s="12" t="n">
        <v>6</v>
      </c>
      <c r="B10" s="14" t="s">
        <v>655</v>
      </c>
      <c r="C10" s="14" t="s">
        <v>656</v>
      </c>
      <c r="D10" s="14" t="s">
        <v>657</v>
      </c>
      <c r="E10" s="14" t="s">
        <v>658</v>
      </c>
      <c r="F10" s="14" t="s">
        <v>659</v>
      </c>
      <c r="G10" s="14" t="s">
        <v>443</v>
      </c>
    </row>
    <row r="11" customFormat="false" ht="15" hidden="false" customHeight="false" outlineLevel="0" collapsed="false">
      <c r="A11" s="7" t="n">
        <v>7</v>
      </c>
      <c r="B11" s="9" t="s">
        <v>660</v>
      </c>
      <c r="C11" s="9" t="s">
        <v>661</v>
      </c>
      <c r="D11" s="9" t="s">
        <v>662</v>
      </c>
      <c r="E11" s="9" t="s">
        <v>663</v>
      </c>
      <c r="F11" s="9" t="s">
        <v>664</v>
      </c>
      <c r="G11" s="9" t="s">
        <v>665</v>
      </c>
    </row>
    <row r="12" customFormat="false" ht="15" hidden="false" customHeight="false" outlineLevel="0" collapsed="false">
      <c r="A12" s="12" t="n">
        <v>8</v>
      </c>
      <c r="B12" s="14" t="s">
        <v>666</v>
      </c>
      <c r="C12" s="14" t="s">
        <v>667</v>
      </c>
      <c r="D12" s="14" t="s">
        <v>639</v>
      </c>
      <c r="E12" s="14" t="s">
        <v>668</v>
      </c>
      <c r="F12" s="14" t="s">
        <v>185</v>
      </c>
      <c r="G12" s="14" t="s">
        <v>669</v>
      </c>
    </row>
    <row r="13" customFormat="false" ht="15" hidden="false" customHeight="false" outlineLevel="0" collapsed="false">
      <c r="A13" s="7" t="n">
        <v>9</v>
      </c>
      <c r="B13" s="9" t="s">
        <v>670</v>
      </c>
      <c r="C13" s="9" t="s">
        <v>632</v>
      </c>
      <c r="D13" s="9" t="s">
        <v>633</v>
      </c>
      <c r="E13" s="9" t="s">
        <v>671</v>
      </c>
      <c r="F13" s="9" t="s">
        <v>672</v>
      </c>
      <c r="G13" s="9" t="s">
        <v>673</v>
      </c>
    </row>
    <row r="14" customFormat="false" ht="15" hidden="false" customHeight="false" outlineLevel="0" collapsed="false">
      <c r="A14" s="12" t="n">
        <v>10</v>
      </c>
      <c r="B14" s="14" t="s">
        <v>674</v>
      </c>
      <c r="C14" s="14" t="s">
        <v>675</v>
      </c>
      <c r="D14" s="14" t="s">
        <v>639</v>
      </c>
      <c r="E14" s="14" t="s">
        <v>676</v>
      </c>
      <c r="F14" s="14" t="s">
        <v>677</v>
      </c>
      <c r="G14" s="14" t="s">
        <v>678</v>
      </c>
    </row>
    <row r="15" customFormat="false" ht="15" hidden="false" customHeight="false" outlineLevel="0" collapsed="false">
      <c r="A15" s="7" t="n">
        <v>11</v>
      </c>
      <c r="B15" s="9" t="s">
        <v>679</v>
      </c>
      <c r="C15" s="9" t="s">
        <v>675</v>
      </c>
      <c r="D15" s="9" t="s">
        <v>633</v>
      </c>
      <c r="E15" s="9" t="s">
        <v>680</v>
      </c>
      <c r="F15" s="9" t="s">
        <v>681</v>
      </c>
      <c r="G15" s="9" t="s">
        <v>682</v>
      </c>
    </row>
    <row r="16" customFormat="false" ht="15" hidden="false" customHeight="false" outlineLevel="0" collapsed="false">
      <c r="A16" s="12" t="n">
        <v>12</v>
      </c>
      <c r="B16" s="14" t="s">
        <v>683</v>
      </c>
      <c r="C16" s="14" t="s">
        <v>684</v>
      </c>
      <c r="D16" s="14" t="s">
        <v>43</v>
      </c>
      <c r="E16" s="14" t="s">
        <v>685</v>
      </c>
      <c r="F16" s="14" t="s">
        <v>686</v>
      </c>
      <c r="G16" s="14" t="s">
        <v>687</v>
      </c>
    </row>
    <row r="17" customFormat="false" ht="15" hidden="false" customHeight="false" outlineLevel="0" collapsed="false">
      <c r="A17" s="7" t="n">
        <v>13</v>
      </c>
      <c r="B17" s="9" t="s">
        <v>688</v>
      </c>
      <c r="C17" s="9" t="s">
        <v>638</v>
      </c>
      <c r="D17" s="9" t="s">
        <v>639</v>
      </c>
      <c r="E17" s="9" t="s">
        <v>689</v>
      </c>
      <c r="F17" s="9" t="s">
        <v>690</v>
      </c>
      <c r="G17" s="9" t="s">
        <v>691</v>
      </c>
    </row>
    <row r="18" customFormat="false" ht="15" hidden="false" customHeight="false" outlineLevel="0" collapsed="false">
      <c r="A18" s="12" t="n">
        <v>14</v>
      </c>
      <c r="B18" s="14" t="s">
        <v>692</v>
      </c>
      <c r="C18" s="14" t="s">
        <v>638</v>
      </c>
      <c r="D18" s="14" t="s">
        <v>639</v>
      </c>
      <c r="E18" s="14" t="s">
        <v>693</v>
      </c>
      <c r="F18" s="14" t="s">
        <v>694</v>
      </c>
      <c r="G18" s="14" t="s">
        <v>695</v>
      </c>
    </row>
    <row r="19" customFormat="false" ht="15" hidden="false" customHeight="false" outlineLevel="0" collapsed="false">
      <c r="A19" s="7" t="n">
        <v>15</v>
      </c>
      <c r="B19" s="9" t="s">
        <v>696</v>
      </c>
      <c r="C19" s="9" t="s">
        <v>697</v>
      </c>
      <c r="D19" s="9" t="s">
        <v>662</v>
      </c>
      <c r="E19" s="9" t="s">
        <v>698</v>
      </c>
      <c r="F19" s="9" t="s">
        <v>699</v>
      </c>
      <c r="G19" s="9" t="s">
        <v>700</v>
      </c>
    </row>
    <row r="20" customFormat="false" ht="15" hidden="false" customHeight="false" outlineLevel="0" collapsed="false">
      <c r="A20" s="12" t="n">
        <v>16</v>
      </c>
      <c r="B20" s="14" t="s">
        <v>701</v>
      </c>
      <c r="C20" s="14" t="s">
        <v>632</v>
      </c>
      <c r="D20" s="14" t="s">
        <v>50</v>
      </c>
      <c r="E20" s="14" t="s">
        <v>702</v>
      </c>
      <c r="F20" s="14" t="s">
        <v>703</v>
      </c>
      <c r="G20" s="14" t="s">
        <v>704</v>
      </c>
    </row>
    <row r="21" customFormat="false" ht="15" hidden="false" customHeight="false" outlineLevel="0" collapsed="false">
      <c r="A21" s="7" t="n">
        <v>17</v>
      </c>
      <c r="B21" s="9" t="s">
        <v>705</v>
      </c>
      <c r="C21" s="9" t="s">
        <v>632</v>
      </c>
      <c r="D21" s="9" t="s">
        <v>52</v>
      </c>
      <c r="E21" s="9" t="s">
        <v>706</v>
      </c>
      <c r="F21" s="9" t="s">
        <v>707</v>
      </c>
      <c r="G21" s="9" t="s">
        <v>708</v>
      </c>
    </row>
    <row r="22" customFormat="false" ht="15" hidden="false" customHeight="false" outlineLevel="0" collapsed="false">
      <c r="A22" s="12" t="n">
        <v>18</v>
      </c>
      <c r="B22" s="14" t="s">
        <v>709</v>
      </c>
      <c r="C22" s="14" t="s">
        <v>710</v>
      </c>
      <c r="D22" s="14" t="s">
        <v>657</v>
      </c>
      <c r="E22" s="14" t="s">
        <v>711</v>
      </c>
      <c r="F22" s="14" t="s">
        <v>712</v>
      </c>
      <c r="G22" s="14" t="s">
        <v>713</v>
      </c>
    </row>
    <row r="23" customFormat="false" ht="15" hidden="false" customHeight="false" outlineLevel="0" collapsed="false">
      <c r="A23" s="7" t="n">
        <v>19</v>
      </c>
      <c r="B23" s="9" t="s">
        <v>714</v>
      </c>
      <c r="C23" s="9" t="s">
        <v>675</v>
      </c>
      <c r="D23" s="9" t="s">
        <v>657</v>
      </c>
      <c r="E23" s="9" t="s">
        <v>715</v>
      </c>
      <c r="F23" s="9" t="s">
        <v>716</v>
      </c>
      <c r="G23" s="9" t="s">
        <v>717</v>
      </c>
    </row>
    <row r="24" customFormat="false" ht="15" hidden="false" customHeight="false" outlineLevel="0" collapsed="false">
      <c r="A24" s="12" t="n">
        <v>20</v>
      </c>
      <c r="B24" s="14" t="s">
        <v>718</v>
      </c>
      <c r="C24" s="14" t="s">
        <v>675</v>
      </c>
      <c r="D24" s="14" t="s">
        <v>419</v>
      </c>
      <c r="E24" s="14" t="s">
        <v>719</v>
      </c>
      <c r="F24" s="14" t="s">
        <v>720</v>
      </c>
      <c r="G24" s="14" t="s">
        <v>721</v>
      </c>
    </row>
    <row r="25" customFormat="false" ht="15" hidden="false" customHeight="false" outlineLevel="0" collapsed="false">
      <c r="A25" s="7" t="n">
        <v>21</v>
      </c>
      <c r="B25" s="9" t="s">
        <v>722</v>
      </c>
      <c r="C25" s="9" t="s">
        <v>697</v>
      </c>
      <c r="D25" s="9" t="s">
        <v>43</v>
      </c>
      <c r="E25" s="9" t="s">
        <v>723</v>
      </c>
      <c r="F25" s="9" t="s">
        <v>724</v>
      </c>
      <c r="G25" s="9" t="s">
        <v>725</v>
      </c>
    </row>
    <row r="26" customFormat="false" ht="15" hidden="false" customHeight="false" outlineLevel="0" collapsed="false">
      <c r="A26" s="12" t="n">
        <v>22</v>
      </c>
      <c r="B26" s="14" t="s">
        <v>726</v>
      </c>
      <c r="C26" s="14" t="s">
        <v>675</v>
      </c>
      <c r="D26" s="14" t="s">
        <v>43</v>
      </c>
      <c r="E26" s="14" t="s">
        <v>727</v>
      </c>
      <c r="F26" s="14" t="s">
        <v>728</v>
      </c>
      <c r="G26" s="14" t="s">
        <v>729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 t="s">
        <v>730</v>
      </c>
      <c r="B1" s="1"/>
      <c r="C1" s="1"/>
      <c r="D1" s="1"/>
    </row>
    <row r="2" customFormat="false" ht="15.75" hidden="false" customHeight="true" outlineLevel="0" collapsed="false">
      <c r="A2" s="2" t="s">
        <v>731</v>
      </c>
      <c r="B2" s="2"/>
      <c r="C2" s="2"/>
      <c r="D2" s="2"/>
    </row>
    <row r="4" customFormat="false" ht="15" hidden="false" customHeight="false" outlineLevel="0" collapsed="false">
      <c r="A4" s="6" t="s">
        <v>732</v>
      </c>
      <c r="B4" s="6" t="s">
        <v>733</v>
      </c>
      <c r="C4" s="6" t="s">
        <v>629</v>
      </c>
      <c r="D4" s="6" t="s">
        <v>734</v>
      </c>
    </row>
    <row r="5" customFormat="false" ht="19.4" hidden="false" customHeight="false" outlineLevel="0" collapsed="false">
      <c r="A5" s="9" t="s">
        <v>735</v>
      </c>
      <c r="B5" s="9" t="s">
        <v>736</v>
      </c>
      <c r="C5" s="9" t="s">
        <v>737</v>
      </c>
      <c r="D5" s="9" t="s">
        <v>738</v>
      </c>
    </row>
    <row r="6" customFormat="false" ht="15" hidden="false" customHeight="false" outlineLevel="0" collapsed="false">
      <c r="A6" s="14" t="s">
        <v>739</v>
      </c>
      <c r="B6" s="14" t="s">
        <v>740</v>
      </c>
      <c r="C6" s="14" t="s">
        <v>741</v>
      </c>
      <c r="D6" s="14" t="s">
        <v>742</v>
      </c>
    </row>
    <row r="7" customFormat="false" ht="19.4" hidden="false" customHeight="false" outlineLevel="0" collapsed="false">
      <c r="A7" s="9" t="s">
        <v>743</v>
      </c>
      <c r="B7" s="9" t="s">
        <v>744</v>
      </c>
      <c r="C7" s="9" t="s">
        <v>192</v>
      </c>
      <c r="D7" s="9" t="s">
        <v>745</v>
      </c>
    </row>
    <row r="8" customFormat="false" ht="15" hidden="false" customHeight="false" outlineLevel="0" collapsed="false">
      <c r="A8" s="14" t="s">
        <v>746</v>
      </c>
      <c r="B8" s="14" t="s">
        <v>747</v>
      </c>
      <c r="C8" s="14" t="s">
        <v>364</v>
      </c>
      <c r="D8" s="14" t="s">
        <v>748</v>
      </c>
    </row>
    <row r="9" customFormat="false" ht="15" hidden="false" customHeight="false" outlineLevel="0" collapsed="false">
      <c r="A9" s="9" t="s">
        <v>749</v>
      </c>
      <c r="B9" s="9" t="s">
        <v>750</v>
      </c>
      <c r="C9" s="9" t="s">
        <v>367</v>
      </c>
      <c r="D9" s="9" t="s">
        <v>751</v>
      </c>
    </row>
    <row r="10" customFormat="false" ht="15" hidden="false" customHeight="false" outlineLevel="0" collapsed="false">
      <c r="A10" s="14" t="s">
        <v>752</v>
      </c>
      <c r="B10" s="14" t="s">
        <v>753</v>
      </c>
      <c r="C10" s="14" t="s">
        <v>370</v>
      </c>
      <c r="D10" s="14" t="s">
        <v>754</v>
      </c>
    </row>
    <row r="11" customFormat="false" ht="15" hidden="false" customHeight="false" outlineLevel="0" collapsed="false">
      <c r="A11" s="9" t="s">
        <v>755</v>
      </c>
      <c r="B11" s="9" t="s">
        <v>756</v>
      </c>
      <c r="C11" s="9" t="s">
        <v>757</v>
      </c>
      <c r="D11" s="9" t="s">
        <v>758</v>
      </c>
    </row>
    <row r="12" customFormat="false" ht="15" hidden="false" customHeight="false" outlineLevel="0" collapsed="false">
      <c r="A12" s="14" t="s">
        <v>759</v>
      </c>
      <c r="B12" s="14" t="s">
        <v>760</v>
      </c>
      <c r="C12" s="14" t="s">
        <v>761</v>
      </c>
      <c r="D12" s="14" t="s">
        <v>762</v>
      </c>
    </row>
    <row r="13" customFormat="false" ht="15" hidden="false" customHeight="false" outlineLevel="0" collapsed="false">
      <c r="A13" s="9" t="s">
        <v>763</v>
      </c>
      <c r="B13" s="9" t="s">
        <v>764</v>
      </c>
      <c r="C13" s="9" t="s">
        <v>765</v>
      </c>
      <c r="D13" s="9" t="s">
        <v>766</v>
      </c>
    </row>
    <row r="14" customFormat="false" ht="15" hidden="false" customHeight="false" outlineLevel="0" collapsed="false">
      <c r="A14" s="14" t="s">
        <v>767</v>
      </c>
      <c r="B14" s="14" t="s">
        <v>768</v>
      </c>
      <c r="C14" s="14" t="s">
        <v>769</v>
      </c>
      <c r="D14" s="14" t="s">
        <v>770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4" min="3" style="0" width="30"/>
  </cols>
  <sheetData>
    <row r="1" customFormat="false" ht="27.75" hidden="false" customHeight="true" outlineLevel="0" collapsed="false">
      <c r="A1" s="22" t="s">
        <v>771</v>
      </c>
      <c r="B1" s="22"/>
      <c r="C1" s="22"/>
      <c r="D1" s="22"/>
    </row>
    <row r="2" customFormat="false" ht="15.75" hidden="false" customHeight="true" outlineLevel="0" collapsed="false">
      <c r="A2" s="2" t="s">
        <v>772</v>
      </c>
      <c r="B2" s="2"/>
      <c r="C2" s="2"/>
      <c r="D2" s="2"/>
    </row>
    <row r="4" customFormat="false" ht="15" hidden="false" customHeight="false" outlineLevel="0" collapsed="false">
      <c r="A4" s="6" t="s">
        <v>773</v>
      </c>
      <c r="B4" s="6" t="s">
        <v>774</v>
      </c>
      <c r="C4" s="6" t="s">
        <v>775</v>
      </c>
      <c r="D4" s="6" t="s">
        <v>776</v>
      </c>
    </row>
    <row r="5" customFormat="false" ht="15" hidden="false" customHeight="false" outlineLevel="0" collapsed="false">
      <c r="A5" s="9" t="s">
        <v>777</v>
      </c>
      <c r="B5" s="9" t="s">
        <v>778</v>
      </c>
      <c r="C5" s="9" t="s">
        <v>779</v>
      </c>
      <c r="D5" s="9" t="s">
        <v>780</v>
      </c>
    </row>
    <row r="6" customFormat="false" ht="15" hidden="false" customHeight="false" outlineLevel="0" collapsed="false">
      <c r="A6" s="14" t="s">
        <v>781</v>
      </c>
      <c r="B6" s="14" t="s">
        <v>782</v>
      </c>
      <c r="C6" s="14" t="s">
        <v>783</v>
      </c>
      <c r="D6" s="14" t="s">
        <v>784</v>
      </c>
    </row>
    <row r="7" customFormat="false" ht="15" hidden="false" customHeight="false" outlineLevel="0" collapsed="false">
      <c r="A7" s="9" t="s">
        <v>620</v>
      </c>
      <c r="B7" s="9" t="s">
        <v>785</v>
      </c>
      <c r="C7" s="9" t="s">
        <v>786</v>
      </c>
      <c r="D7" s="9" t="s">
        <v>787</v>
      </c>
    </row>
    <row r="8" customFormat="false" ht="15" hidden="false" customHeight="false" outlineLevel="0" collapsed="false">
      <c r="A8" s="14" t="s">
        <v>615</v>
      </c>
      <c r="B8" s="14" t="s">
        <v>616</v>
      </c>
      <c r="C8" s="14" t="s">
        <v>788</v>
      </c>
      <c r="D8" s="14" t="s">
        <v>789</v>
      </c>
    </row>
    <row r="9" customFormat="false" ht="15" hidden="false" customHeight="false" outlineLevel="0" collapsed="false">
      <c r="A9" s="9" t="s">
        <v>790</v>
      </c>
      <c r="B9" s="9" t="s">
        <v>791</v>
      </c>
      <c r="C9" s="9" t="s">
        <v>792</v>
      </c>
      <c r="D9" s="9" t="s">
        <v>793</v>
      </c>
    </row>
    <row r="10" customFormat="false" ht="15" hidden="false" customHeight="false" outlineLevel="0" collapsed="false">
      <c r="A10" s="14" t="s">
        <v>611</v>
      </c>
      <c r="B10" s="14" t="s">
        <v>794</v>
      </c>
      <c r="C10" s="14" t="s">
        <v>795</v>
      </c>
      <c r="D10" s="14" t="s">
        <v>796</v>
      </c>
    </row>
    <row r="11" customFormat="false" ht="15" hidden="false" customHeight="false" outlineLevel="0" collapsed="false">
      <c r="A11" s="9" t="s">
        <v>797</v>
      </c>
      <c r="B11" s="9" t="s">
        <v>798</v>
      </c>
      <c r="C11" s="9" t="s">
        <v>799</v>
      </c>
      <c r="D11" s="9" t="s">
        <v>800</v>
      </c>
    </row>
    <row r="12" customFormat="false" ht="15" hidden="false" customHeight="false" outlineLevel="0" collapsed="false">
      <c r="A12" s="14" t="s">
        <v>428</v>
      </c>
      <c r="B12" s="14" t="s">
        <v>296</v>
      </c>
      <c r="C12" s="14" t="s">
        <v>801</v>
      </c>
      <c r="D12" s="14" t="s">
        <v>802</v>
      </c>
    </row>
    <row r="13" customFormat="false" ht="15" hidden="false" customHeight="false" outlineLevel="0" collapsed="false">
      <c r="A13" s="9" t="s">
        <v>803</v>
      </c>
      <c r="B13" s="9" t="s">
        <v>804</v>
      </c>
      <c r="C13" s="9" t="s">
        <v>805</v>
      </c>
      <c r="D13" s="9" t="s">
        <v>806</v>
      </c>
    </row>
    <row r="14" customFormat="false" ht="15" hidden="false" customHeight="false" outlineLevel="0" collapsed="false">
      <c r="A14" s="14" t="s">
        <v>807</v>
      </c>
      <c r="B14" s="14" t="s">
        <v>808</v>
      </c>
      <c r="C14" s="14" t="s">
        <v>809</v>
      </c>
      <c r="D14" s="14" t="s">
        <v>810</v>
      </c>
    </row>
    <row r="15" customFormat="false" ht="15" hidden="false" customHeight="false" outlineLevel="0" collapsed="false">
      <c r="A15" s="9" t="s">
        <v>811</v>
      </c>
      <c r="B15" s="9" t="s">
        <v>812</v>
      </c>
      <c r="C15" s="9" t="s">
        <v>813</v>
      </c>
      <c r="D15" s="9" t="s">
        <v>814</v>
      </c>
    </row>
    <row r="16" customFormat="false" ht="15" hidden="false" customHeight="false" outlineLevel="0" collapsed="false">
      <c r="A16" s="14" t="s">
        <v>815</v>
      </c>
      <c r="B16" s="14" t="s">
        <v>816</v>
      </c>
      <c r="C16" s="14" t="s">
        <v>817</v>
      </c>
      <c r="D16" s="14" t="s">
        <v>818</v>
      </c>
    </row>
    <row r="17" customFormat="false" ht="15" hidden="false" customHeight="false" outlineLevel="0" collapsed="false">
      <c r="A17" s="9" t="s">
        <v>819</v>
      </c>
      <c r="B17" s="9" t="s">
        <v>820</v>
      </c>
      <c r="C17" s="9" t="s">
        <v>821</v>
      </c>
      <c r="D17" s="9" t="s">
        <v>822</v>
      </c>
    </row>
    <row r="18" customFormat="false" ht="15" hidden="false" customHeight="false" outlineLevel="0" collapsed="false">
      <c r="A18" s="14" t="s">
        <v>823</v>
      </c>
      <c r="B18" s="14" t="s">
        <v>824</v>
      </c>
      <c r="C18" s="14" t="s">
        <v>825</v>
      </c>
      <c r="D18" s="14" t="s">
        <v>826</v>
      </c>
    </row>
    <row r="19" customFormat="false" ht="15" hidden="false" customHeight="false" outlineLevel="0" collapsed="false">
      <c r="A19" s="9" t="s">
        <v>827</v>
      </c>
      <c r="B19" s="9" t="s">
        <v>828</v>
      </c>
      <c r="C19" s="9" t="s">
        <v>829</v>
      </c>
      <c r="D19" s="9" t="s">
        <v>830</v>
      </c>
    </row>
    <row r="20" customFormat="false" ht="15" hidden="false" customHeight="false" outlineLevel="0" collapsed="false">
      <c r="A20" s="14" t="s">
        <v>831</v>
      </c>
      <c r="B20" s="14" t="s">
        <v>832</v>
      </c>
      <c r="C20" s="14" t="s">
        <v>833</v>
      </c>
      <c r="D20" s="14" t="s">
        <v>834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1" t="s">
        <v>835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836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42</v>
      </c>
      <c r="B4" s="6" t="s">
        <v>34</v>
      </c>
      <c r="C4" s="6" t="s">
        <v>391</v>
      </c>
      <c r="D4" s="6" t="s">
        <v>837</v>
      </c>
      <c r="E4" s="6" t="s">
        <v>838</v>
      </c>
      <c r="F4" s="6" t="s">
        <v>839</v>
      </c>
    </row>
    <row r="5" customFormat="false" ht="19.4" hidden="false" customHeight="false" outlineLevel="0" collapsed="false">
      <c r="A5" s="29" t="s">
        <v>840</v>
      </c>
      <c r="B5" s="9" t="s">
        <v>43</v>
      </c>
      <c r="C5" s="9" t="s">
        <v>841</v>
      </c>
      <c r="D5" s="9" t="s">
        <v>842</v>
      </c>
      <c r="E5" s="9" t="s">
        <v>843</v>
      </c>
      <c r="F5" s="9" t="s">
        <v>844</v>
      </c>
    </row>
    <row r="6" customFormat="false" ht="19.4" hidden="false" customHeight="false" outlineLevel="0" collapsed="false">
      <c r="A6" s="29" t="s">
        <v>840</v>
      </c>
      <c r="B6" s="9" t="s">
        <v>43</v>
      </c>
      <c r="C6" s="9" t="s">
        <v>845</v>
      </c>
      <c r="D6" s="9" t="s">
        <v>846</v>
      </c>
      <c r="E6" s="9" t="s">
        <v>419</v>
      </c>
      <c r="F6" s="9" t="s">
        <v>847</v>
      </c>
    </row>
    <row r="7" customFormat="false" ht="15" hidden="false" customHeight="false" outlineLevel="0" collapsed="false">
      <c r="A7" s="29" t="s">
        <v>840</v>
      </c>
      <c r="B7" s="9" t="s">
        <v>3</v>
      </c>
      <c r="C7" s="9" t="s">
        <v>848</v>
      </c>
      <c r="D7" s="9" t="s">
        <v>849</v>
      </c>
      <c r="E7" s="9" t="s">
        <v>850</v>
      </c>
      <c r="F7" s="9" t="s">
        <v>851</v>
      </c>
    </row>
    <row r="8" customFormat="false" ht="19.4" hidden="false" customHeight="false" outlineLevel="0" collapsed="false">
      <c r="A8" s="29" t="s">
        <v>840</v>
      </c>
      <c r="B8" s="9" t="s">
        <v>43</v>
      </c>
      <c r="C8" s="9" t="s">
        <v>852</v>
      </c>
      <c r="D8" s="9" t="s">
        <v>853</v>
      </c>
      <c r="E8" s="9" t="s">
        <v>419</v>
      </c>
      <c r="F8" s="9" t="s">
        <v>854</v>
      </c>
    </row>
    <row r="9" customFormat="false" ht="15" hidden="false" customHeight="false" outlineLevel="0" collapsed="false">
      <c r="A9" s="29" t="s">
        <v>840</v>
      </c>
      <c r="B9" s="9" t="s">
        <v>43</v>
      </c>
      <c r="C9" s="9" t="s">
        <v>455</v>
      </c>
      <c r="D9" s="9" t="s">
        <v>855</v>
      </c>
      <c r="E9" s="9" t="s">
        <v>50</v>
      </c>
      <c r="F9" s="9" t="s">
        <v>856</v>
      </c>
    </row>
    <row r="10" customFormat="false" ht="15" hidden="false" customHeight="false" outlineLevel="0" collapsed="false">
      <c r="A10" s="29" t="s">
        <v>840</v>
      </c>
      <c r="B10" s="9" t="s">
        <v>3</v>
      </c>
      <c r="C10" s="9" t="s">
        <v>857</v>
      </c>
      <c r="D10" s="9" t="s">
        <v>858</v>
      </c>
      <c r="E10" s="9" t="s">
        <v>419</v>
      </c>
      <c r="F10" s="9" t="s">
        <v>412</v>
      </c>
    </row>
    <row r="11" customFormat="false" ht="15" hidden="false" customHeight="false" outlineLevel="0" collapsed="false">
      <c r="A11" s="30" t="s">
        <v>859</v>
      </c>
      <c r="B11" s="9" t="s">
        <v>3</v>
      </c>
      <c r="C11" s="9" t="s">
        <v>860</v>
      </c>
      <c r="D11" s="9" t="s">
        <v>861</v>
      </c>
      <c r="E11" s="9" t="s">
        <v>862</v>
      </c>
      <c r="F11" s="9" t="s">
        <v>863</v>
      </c>
    </row>
    <row r="12" customFormat="false" ht="15" hidden="false" customHeight="false" outlineLevel="0" collapsed="false">
      <c r="A12" s="30" t="s">
        <v>859</v>
      </c>
      <c r="B12" s="9" t="s">
        <v>43</v>
      </c>
      <c r="C12" s="9" t="s">
        <v>864</v>
      </c>
      <c r="D12" s="9" t="s">
        <v>865</v>
      </c>
      <c r="E12" s="9" t="s">
        <v>419</v>
      </c>
      <c r="F12" s="9" t="s">
        <v>866</v>
      </c>
    </row>
    <row r="13" customFormat="false" ht="15" hidden="false" customHeight="false" outlineLevel="0" collapsed="false">
      <c r="A13" s="30" t="s">
        <v>859</v>
      </c>
      <c r="B13" s="9" t="s">
        <v>3</v>
      </c>
      <c r="C13" s="9" t="s">
        <v>867</v>
      </c>
      <c r="D13" s="9" t="s">
        <v>868</v>
      </c>
      <c r="E13" s="9" t="s">
        <v>419</v>
      </c>
      <c r="F13" s="9" t="s">
        <v>434</v>
      </c>
    </row>
    <row r="14" customFormat="false" ht="15" hidden="false" customHeight="false" outlineLevel="0" collapsed="false">
      <c r="A14" s="30" t="s">
        <v>859</v>
      </c>
      <c r="B14" s="9" t="s">
        <v>50</v>
      </c>
      <c r="C14" s="9" t="s">
        <v>869</v>
      </c>
      <c r="D14" s="9" t="s">
        <v>870</v>
      </c>
      <c r="E14" s="9" t="s">
        <v>871</v>
      </c>
      <c r="F14" s="9" t="s">
        <v>461</v>
      </c>
    </row>
    <row r="15" customFormat="false" ht="15" hidden="false" customHeight="false" outlineLevel="0" collapsed="false">
      <c r="A15" s="30" t="s">
        <v>859</v>
      </c>
      <c r="B15" s="9" t="s">
        <v>52</v>
      </c>
      <c r="C15" s="9" t="s">
        <v>487</v>
      </c>
      <c r="D15" s="9" t="s">
        <v>872</v>
      </c>
      <c r="E15" s="9" t="s">
        <v>873</v>
      </c>
      <c r="F15" s="9" t="s">
        <v>874</v>
      </c>
    </row>
    <row r="16" customFormat="false" ht="15" hidden="false" customHeight="false" outlineLevel="0" collapsed="false">
      <c r="A16" s="30" t="s">
        <v>859</v>
      </c>
      <c r="B16" s="9" t="s">
        <v>43</v>
      </c>
      <c r="C16" s="9" t="s">
        <v>18</v>
      </c>
      <c r="D16" s="9" t="s">
        <v>875</v>
      </c>
      <c r="E16" s="9" t="s">
        <v>419</v>
      </c>
      <c r="F16" s="9" t="s">
        <v>876</v>
      </c>
    </row>
    <row r="17" customFormat="false" ht="15" hidden="false" customHeight="false" outlineLevel="0" collapsed="false">
      <c r="A17" s="31" t="s">
        <v>877</v>
      </c>
      <c r="B17" s="9" t="s">
        <v>3</v>
      </c>
      <c r="C17" s="9" t="s">
        <v>878</v>
      </c>
      <c r="D17" s="9" t="s">
        <v>879</v>
      </c>
      <c r="E17" s="9" t="s">
        <v>880</v>
      </c>
      <c r="F17" s="9" t="s">
        <v>881</v>
      </c>
    </row>
    <row r="18" customFormat="false" ht="15" hidden="false" customHeight="false" outlineLevel="0" collapsed="false">
      <c r="A18" s="31" t="s">
        <v>877</v>
      </c>
      <c r="B18" s="9" t="s">
        <v>50</v>
      </c>
      <c r="C18" s="9" t="s">
        <v>882</v>
      </c>
      <c r="D18" s="9" t="s">
        <v>883</v>
      </c>
      <c r="E18" s="9" t="s">
        <v>871</v>
      </c>
      <c r="F18" s="9" t="s">
        <v>884</v>
      </c>
    </row>
    <row r="19" customFormat="false" ht="15" hidden="false" customHeight="false" outlineLevel="0" collapsed="false">
      <c r="A19" s="31" t="s">
        <v>877</v>
      </c>
      <c r="B19" s="9" t="s">
        <v>43</v>
      </c>
      <c r="C19" s="9" t="s">
        <v>885</v>
      </c>
      <c r="D19" s="9" t="s">
        <v>886</v>
      </c>
      <c r="E19" s="9" t="s">
        <v>887</v>
      </c>
      <c r="F19" s="9" t="s">
        <v>888</v>
      </c>
    </row>
    <row r="20" customFormat="false" ht="15" hidden="false" customHeight="false" outlineLevel="0" collapsed="false">
      <c r="A20" s="31" t="s">
        <v>877</v>
      </c>
      <c r="B20" s="9" t="s">
        <v>419</v>
      </c>
      <c r="C20" s="9" t="s">
        <v>889</v>
      </c>
      <c r="D20" s="9" t="s">
        <v>890</v>
      </c>
      <c r="E20" s="9" t="s">
        <v>871</v>
      </c>
      <c r="F20" s="9" t="s">
        <v>891</v>
      </c>
    </row>
    <row r="21" customFormat="false" ht="15" hidden="false" customHeight="false" outlineLevel="0" collapsed="false">
      <c r="A21" s="31" t="s">
        <v>877</v>
      </c>
      <c r="B21" s="9" t="s">
        <v>43</v>
      </c>
      <c r="C21" s="9" t="s">
        <v>892</v>
      </c>
      <c r="D21" s="9" t="s">
        <v>893</v>
      </c>
      <c r="E21" s="9" t="s">
        <v>894</v>
      </c>
      <c r="F21" s="9" t="s">
        <v>895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34"/>
  </cols>
  <sheetData>
    <row r="1" customFormat="false" ht="27.75" hidden="false" customHeight="true" outlineLevel="0" collapsed="false">
      <c r="A1" s="1" t="s">
        <v>896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897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6" t="s">
        <v>627</v>
      </c>
      <c r="B4" s="6" t="s">
        <v>537</v>
      </c>
      <c r="C4" s="6" t="s">
        <v>898</v>
      </c>
      <c r="D4" s="6" t="s">
        <v>899</v>
      </c>
      <c r="E4" s="6" t="s">
        <v>900</v>
      </c>
      <c r="F4" s="6" t="s">
        <v>25</v>
      </c>
      <c r="G4" s="6" t="s">
        <v>901</v>
      </c>
    </row>
    <row r="5" customFormat="false" ht="15" hidden="false" customHeight="false" outlineLevel="0" collapsed="false">
      <c r="A5" s="9" t="s">
        <v>902</v>
      </c>
      <c r="B5" s="9" t="s">
        <v>903</v>
      </c>
      <c r="C5" s="9" t="s">
        <v>904</v>
      </c>
      <c r="D5" s="9" t="s">
        <v>905</v>
      </c>
      <c r="E5" s="9" t="s">
        <v>906</v>
      </c>
      <c r="F5" s="10" t="s">
        <v>48</v>
      </c>
      <c r="G5" s="9" t="s">
        <v>907</v>
      </c>
    </row>
    <row r="6" customFormat="false" ht="15" hidden="false" customHeight="false" outlineLevel="0" collapsed="false">
      <c r="A6" s="14" t="s">
        <v>908</v>
      </c>
      <c r="B6" s="14" t="s">
        <v>909</v>
      </c>
      <c r="C6" s="14" t="s">
        <v>910</v>
      </c>
      <c r="D6" s="14" t="s">
        <v>911</v>
      </c>
      <c r="E6" s="14" t="s">
        <v>912</v>
      </c>
      <c r="F6" s="10" t="s">
        <v>48</v>
      </c>
      <c r="G6" s="14" t="s">
        <v>913</v>
      </c>
    </row>
    <row r="7" customFormat="false" ht="15" hidden="false" customHeight="false" outlineLevel="0" collapsed="false">
      <c r="A7" s="9" t="s">
        <v>914</v>
      </c>
      <c r="B7" s="9" t="s">
        <v>915</v>
      </c>
      <c r="C7" s="9" t="s">
        <v>916</v>
      </c>
      <c r="D7" s="9" t="s">
        <v>917</v>
      </c>
      <c r="E7" s="9" t="s">
        <v>912</v>
      </c>
      <c r="F7" s="16" t="s">
        <v>64</v>
      </c>
      <c r="G7" s="9" t="s">
        <v>918</v>
      </c>
    </row>
    <row r="8" customFormat="false" ht="15" hidden="false" customHeight="false" outlineLevel="0" collapsed="false">
      <c r="A8" s="14" t="s">
        <v>919</v>
      </c>
      <c r="B8" s="14" t="s">
        <v>915</v>
      </c>
      <c r="C8" s="14" t="s">
        <v>920</v>
      </c>
      <c r="D8" s="14" t="s">
        <v>921</v>
      </c>
      <c r="E8" s="14" t="s">
        <v>912</v>
      </c>
      <c r="F8" s="16" t="s">
        <v>64</v>
      </c>
      <c r="G8" s="14" t="s">
        <v>922</v>
      </c>
    </row>
    <row r="9" customFormat="false" ht="15" hidden="false" customHeight="false" outlineLevel="0" collapsed="false">
      <c r="A9" s="9" t="s">
        <v>279</v>
      </c>
      <c r="B9" s="9" t="s">
        <v>923</v>
      </c>
      <c r="C9" s="9" t="s">
        <v>924</v>
      </c>
      <c r="D9" s="9" t="s">
        <v>925</v>
      </c>
      <c r="E9" s="9" t="s">
        <v>926</v>
      </c>
      <c r="F9" s="18" t="s">
        <v>84</v>
      </c>
      <c r="G9" s="9" t="s">
        <v>927</v>
      </c>
    </row>
    <row r="10" customFormat="false" ht="15" hidden="false" customHeight="false" outlineLevel="0" collapsed="false">
      <c r="A10" s="14" t="s">
        <v>928</v>
      </c>
      <c r="B10" s="14" t="s">
        <v>929</v>
      </c>
      <c r="C10" s="14" t="s">
        <v>930</v>
      </c>
      <c r="D10" s="14" t="s">
        <v>931</v>
      </c>
      <c r="E10" s="14" t="s">
        <v>932</v>
      </c>
      <c r="F10" s="18" t="s">
        <v>84</v>
      </c>
      <c r="G10" s="14" t="s">
        <v>933</v>
      </c>
    </row>
    <row r="11" customFormat="false" ht="15" hidden="false" customHeight="false" outlineLevel="0" collapsed="false">
      <c r="A11" s="9" t="s">
        <v>934</v>
      </c>
      <c r="B11" s="9" t="s">
        <v>935</v>
      </c>
      <c r="C11" s="9" t="s">
        <v>936</v>
      </c>
      <c r="D11" s="9" t="s">
        <v>937</v>
      </c>
      <c r="E11" s="9" t="s">
        <v>926</v>
      </c>
      <c r="F11" s="18" t="s">
        <v>84</v>
      </c>
      <c r="G11" s="9" t="s">
        <v>938</v>
      </c>
    </row>
    <row r="12" customFormat="false" ht="15" hidden="false" customHeight="false" outlineLevel="0" collapsed="false">
      <c r="A12" s="14" t="s">
        <v>939</v>
      </c>
      <c r="B12" s="14" t="s">
        <v>940</v>
      </c>
      <c r="C12" s="14" t="s">
        <v>941</v>
      </c>
      <c r="D12" s="14" t="s">
        <v>942</v>
      </c>
      <c r="E12" s="14" t="s">
        <v>943</v>
      </c>
      <c r="F12" s="19" t="s">
        <v>220</v>
      </c>
      <c r="G12" s="14" t="s">
        <v>944</v>
      </c>
    </row>
    <row r="13" customFormat="false" ht="15" hidden="false" customHeight="false" outlineLevel="0" collapsed="false">
      <c r="A13" s="9" t="s">
        <v>945</v>
      </c>
      <c r="B13" s="9" t="s">
        <v>946</v>
      </c>
      <c r="C13" s="9" t="s">
        <v>947</v>
      </c>
      <c r="D13" s="9" t="s">
        <v>948</v>
      </c>
      <c r="E13" s="9" t="s">
        <v>949</v>
      </c>
      <c r="F13" s="19" t="s">
        <v>220</v>
      </c>
      <c r="G13" s="9" t="s">
        <v>950</v>
      </c>
    </row>
    <row r="14" customFormat="false" ht="15" hidden="false" customHeight="false" outlineLevel="0" collapsed="false">
      <c r="A14" s="14" t="s">
        <v>951</v>
      </c>
      <c r="B14" s="14" t="s">
        <v>952</v>
      </c>
      <c r="C14" s="14" t="s">
        <v>953</v>
      </c>
      <c r="D14" s="14" t="s">
        <v>954</v>
      </c>
      <c r="E14" s="14" t="s">
        <v>955</v>
      </c>
      <c r="F14" s="19" t="s">
        <v>220</v>
      </c>
      <c r="G14" s="14" t="s">
        <v>956</v>
      </c>
    </row>
    <row r="15" customFormat="false" ht="15" hidden="false" customHeight="false" outlineLevel="0" collapsed="false">
      <c r="A15" s="9" t="s">
        <v>957</v>
      </c>
      <c r="B15" s="9" t="s">
        <v>958</v>
      </c>
      <c r="C15" s="9" t="s">
        <v>959</v>
      </c>
      <c r="D15" s="9" t="s">
        <v>960</v>
      </c>
      <c r="E15" s="9" t="s">
        <v>926</v>
      </c>
      <c r="F15" s="19" t="s">
        <v>220</v>
      </c>
      <c r="G15" s="9" t="s">
        <v>961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1" t="s">
        <v>962</v>
      </c>
      <c r="B1" s="1"/>
      <c r="C1" s="1"/>
      <c r="D1" s="1"/>
    </row>
    <row r="2" customFormat="false" ht="15.75" hidden="false" customHeight="true" outlineLevel="0" collapsed="false">
      <c r="A2" s="2" t="s">
        <v>963</v>
      </c>
      <c r="B2" s="2"/>
      <c r="C2" s="2"/>
      <c r="D2" s="2"/>
    </row>
    <row r="4" customFormat="false" ht="15" hidden="false" customHeight="false" outlineLevel="0" collapsed="false">
      <c r="A4" s="6" t="s">
        <v>35</v>
      </c>
      <c r="B4" s="6" t="s">
        <v>40</v>
      </c>
      <c r="C4" s="6" t="s">
        <v>41</v>
      </c>
      <c r="D4" s="6" t="s">
        <v>964</v>
      </c>
    </row>
    <row r="5" customFormat="false" ht="15" hidden="false" customHeight="false" outlineLevel="0" collapsed="false">
      <c r="A5" s="32" t="s">
        <v>44</v>
      </c>
      <c r="B5" s="33" t="n">
        <f aca="false">SUMIF('Master Stack'!C:C,A5,'Master Stack'!J:J)</f>
        <v>190000</v>
      </c>
      <c r="C5" s="33" t="n">
        <f aca="false">SUMIF('Master Stack'!C:C,A5,'Master Stack'!K:K)</f>
        <v>0</v>
      </c>
      <c r="D5" s="33" t="n">
        <f aca="false">B5+C5*3</f>
        <v>190000</v>
      </c>
    </row>
    <row r="6" customFormat="false" ht="15" hidden="false" customHeight="false" outlineLevel="0" collapsed="false">
      <c r="A6" s="34" t="s">
        <v>68</v>
      </c>
      <c r="B6" s="35" t="n">
        <f aca="false">SUMIF('Master Stack'!C:C,A6,'Master Stack'!J:J)</f>
        <v>85000</v>
      </c>
      <c r="C6" s="35" t="n">
        <f aca="false">SUMIF('Master Stack'!C:C,A6,'Master Stack'!K:K)</f>
        <v>34000</v>
      </c>
      <c r="D6" s="35" t="n">
        <f aca="false">B6+C6*3</f>
        <v>187000</v>
      </c>
    </row>
    <row r="7" customFormat="false" ht="15" hidden="false" customHeight="false" outlineLevel="0" collapsed="false">
      <c r="A7" s="32" t="s">
        <v>94</v>
      </c>
      <c r="B7" s="33" t="n">
        <f aca="false">SUMIF('Master Stack'!C:C,A7,'Master Stack'!J:J)</f>
        <v>120000</v>
      </c>
      <c r="C7" s="33" t="n">
        <f aca="false">SUMIF('Master Stack'!C:C,A7,'Master Stack'!K:K)</f>
        <v>70000</v>
      </c>
      <c r="D7" s="33" t="n">
        <f aca="false">B7+C7*3</f>
        <v>330000</v>
      </c>
    </row>
    <row r="8" customFormat="false" ht="15" hidden="false" customHeight="false" outlineLevel="0" collapsed="false">
      <c r="A8" s="34" t="s">
        <v>112</v>
      </c>
      <c r="B8" s="35" t="n">
        <f aca="false">SUMIF('Master Stack'!C:C,A8,'Master Stack'!J:J)</f>
        <v>0</v>
      </c>
      <c r="C8" s="35" t="n">
        <f aca="false">SUMIF('Master Stack'!C:C,A8,'Master Stack'!K:K)</f>
        <v>33000</v>
      </c>
      <c r="D8" s="35" t="n">
        <f aca="false">B8+C8*3</f>
        <v>99000</v>
      </c>
    </row>
    <row r="9" customFormat="false" ht="15" hidden="false" customHeight="false" outlineLevel="0" collapsed="false">
      <c r="A9" s="32" t="s">
        <v>128</v>
      </c>
      <c r="B9" s="33" t="n">
        <f aca="false">SUMIF('Master Stack'!C:C,A9,'Master Stack'!J:J)</f>
        <v>0</v>
      </c>
      <c r="C9" s="33" t="n">
        <f aca="false">SUMIF('Master Stack'!C:C,A9,'Master Stack'!K:K)</f>
        <v>407000</v>
      </c>
      <c r="D9" s="33" t="n">
        <f aca="false">B9+C9*3</f>
        <v>1221000</v>
      </c>
    </row>
    <row r="10" customFormat="false" ht="15" hidden="false" customHeight="false" outlineLevel="0" collapsed="false">
      <c r="A10" s="34" t="s">
        <v>151</v>
      </c>
      <c r="B10" s="35" t="n">
        <f aca="false">SUMIF('Master Stack'!C:C,A10,'Master Stack'!J:J)</f>
        <v>5000</v>
      </c>
      <c r="C10" s="35" t="n">
        <f aca="false">SUMIF('Master Stack'!C:C,A10,'Master Stack'!K:K)</f>
        <v>36000</v>
      </c>
      <c r="D10" s="35" t="n">
        <f aca="false">B10+C10*3</f>
        <v>113000</v>
      </c>
    </row>
    <row r="11" customFormat="false" ht="15" hidden="false" customHeight="false" outlineLevel="0" collapsed="false">
      <c r="A11" s="32" t="s">
        <v>170</v>
      </c>
      <c r="B11" s="33" t="n">
        <f aca="false">SUMIF('Master Stack'!C:C,A11,'Master Stack'!J:J)</f>
        <v>0</v>
      </c>
      <c r="C11" s="33" t="n">
        <f aca="false">SUMIF('Master Stack'!C:C,A11,'Master Stack'!K:K)</f>
        <v>16500</v>
      </c>
      <c r="D11" s="33" t="n">
        <f aca="false">B11+C11*3</f>
        <v>49500</v>
      </c>
    </row>
    <row r="12" customFormat="false" ht="15" hidden="false" customHeight="false" outlineLevel="0" collapsed="false">
      <c r="A12" s="34" t="s">
        <v>186</v>
      </c>
      <c r="B12" s="35" t="n">
        <f aca="false">SUMIF('Master Stack'!C:C,A12,'Master Stack'!J:J)</f>
        <v>6000</v>
      </c>
      <c r="C12" s="35" t="n">
        <f aca="false">SUMIF('Master Stack'!C:C,A12,'Master Stack'!K:K)</f>
        <v>14000</v>
      </c>
      <c r="D12" s="35" t="n">
        <f aca="false">B12+C12*3</f>
        <v>48000</v>
      </c>
    </row>
    <row r="13" customFormat="false" ht="15" hidden="false" customHeight="false" outlineLevel="0" collapsed="false">
      <c r="A13" s="32" t="s">
        <v>202</v>
      </c>
      <c r="B13" s="33" t="n">
        <f aca="false">SUMIF('Master Stack'!C:C,A13,'Master Stack'!J:J)</f>
        <v>10000</v>
      </c>
      <c r="C13" s="33" t="n">
        <f aca="false">SUMIF('Master Stack'!C:C,A13,'Master Stack'!K:K)</f>
        <v>0</v>
      </c>
      <c r="D13" s="33" t="n">
        <f aca="false">B13+C13*3</f>
        <v>10000</v>
      </c>
    </row>
    <row r="14" customFormat="false" ht="15" hidden="false" customHeight="false" outlineLevel="0" collapsed="false">
      <c r="A14" s="34" t="s">
        <v>222</v>
      </c>
      <c r="B14" s="35" t="n">
        <f aca="false">SUMIF('Master Stack'!C:C,A14,'Master Stack'!J:J)</f>
        <v>70000</v>
      </c>
      <c r="C14" s="35" t="n">
        <f aca="false">SUMIF('Master Stack'!C:C,A14,'Master Stack'!K:K)</f>
        <v>43000</v>
      </c>
      <c r="D14" s="35" t="n">
        <f aca="false">B14+C14*3</f>
        <v>199000</v>
      </c>
    </row>
    <row r="15" customFormat="false" ht="15" hidden="false" customHeight="false" outlineLevel="0" collapsed="false">
      <c r="A15" s="32" t="s">
        <v>235</v>
      </c>
      <c r="B15" s="33" t="n">
        <f aca="false">SUMIF('Master Stack'!C:C,A15,'Master Stack'!J:J)</f>
        <v>58000</v>
      </c>
      <c r="C15" s="33" t="n">
        <f aca="false">SUMIF('Master Stack'!C:C,A15,'Master Stack'!K:K)</f>
        <v>16500</v>
      </c>
      <c r="D15" s="33" t="n">
        <f aca="false">B15+C15*3</f>
        <v>107500</v>
      </c>
    </row>
    <row r="16" customFormat="false" ht="15" hidden="false" customHeight="false" outlineLevel="0" collapsed="false">
      <c r="A16" s="34" t="s">
        <v>251</v>
      </c>
      <c r="B16" s="35" t="n">
        <f aca="false">SUMIF('Master Stack'!C:C,A16,'Master Stack'!J:J)</f>
        <v>0</v>
      </c>
      <c r="C16" s="35" t="n">
        <f aca="false">SUMIF('Master Stack'!C:C,A16,'Master Stack'!K:K)</f>
        <v>27000</v>
      </c>
      <c r="D16" s="35" t="n">
        <f aca="false">B16+C16*3</f>
        <v>81000</v>
      </c>
    </row>
    <row r="17" customFormat="false" ht="15" hidden="false" customHeight="false" outlineLevel="0" collapsed="false">
      <c r="A17" s="32" t="s">
        <v>270</v>
      </c>
      <c r="B17" s="33" t="n">
        <f aca="false">SUMIF('Master Stack'!C:C,A17,'Master Stack'!J:J)</f>
        <v>100000</v>
      </c>
      <c r="C17" s="33" t="n">
        <f aca="false">SUMIF('Master Stack'!C:C,A17,'Master Stack'!K:K)</f>
        <v>302000</v>
      </c>
      <c r="D17" s="33" t="n">
        <f aca="false">B17+C17*3</f>
        <v>1006000</v>
      </c>
    </row>
    <row r="18" customFormat="false" ht="15" hidden="false" customHeight="false" outlineLevel="0" collapsed="false">
      <c r="A18" s="34" t="s">
        <v>290</v>
      </c>
      <c r="B18" s="35" t="n">
        <f aca="false">SUMIF('Master Stack'!C:C,A18,'Master Stack'!J:J)</f>
        <v>0</v>
      </c>
      <c r="C18" s="35" t="n">
        <f aca="false">SUMIF('Master Stack'!C:C,A18,'Master Stack'!K:K)</f>
        <v>138000</v>
      </c>
      <c r="D18" s="35" t="n">
        <f aca="false">B18+C18*3</f>
        <v>414000</v>
      </c>
    </row>
    <row r="19" customFormat="false" ht="15" hidden="false" customHeight="false" outlineLevel="0" collapsed="false">
      <c r="A19" s="32" t="s">
        <v>303</v>
      </c>
      <c r="B19" s="33" t="n">
        <f aca="false">SUMIF('Master Stack'!C:C,A19,'Master Stack'!J:J)</f>
        <v>100000</v>
      </c>
      <c r="C19" s="33" t="n">
        <f aca="false">SUMIF('Master Stack'!C:C,A19,'Master Stack'!K:K)</f>
        <v>63000</v>
      </c>
      <c r="D19" s="33" t="n">
        <f aca="false">B19+C19*3</f>
        <v>289000</v>
      </c>
    </row>
    <row r="20" customFormat="false" ht="15" hidden="false" customHeight="false" outlineLevel="0" collapsed="false">
      <c r="A20" s="34" t="s">
        <v>316</v>
      </c>
      <c r="B20" s="35" t="n">
        <f aca="false">SUMIF('Master Stack'!C:C,A20,'Master Stack'!J:J)</f>
        <v>46000</v>
      </c>
      <c r="C20" s="35" t="n">
        <f aca="false">SUMIF('Master Stack'!C:C,A20,'Master Stack'!K:K)</f>
        <v>21500</v>
      </c>
      <c r="D20" s="35" t="n">
        <f aca="false">B20+C20*3</f>
        <v>110500</v>
      </c>
    </row>
    <row r="21" customFormat="false" ht="15" hidden="false" customHeight="false" outlineLevel="0" collapsed="false">
      <c r="A21" s="32" t="s">
        <v>338</v>
      </c>
      <c r="B21" s="33" t="n">
        <f aca="false">SUMIF('Master Stack'!C:C,A21,'Master Stack'!J:J)</f>
        <v>0</v>
      </c>
      <c r="C21" s="33" t="n">
        <f aca="false">SUMIF('Master Stack'!C:C,A21,'Master Stack'!K:K)</f>
        <v>15000</v>
      </c>
      <c r="D21" s="33" t="n">
        <f aca="false">B21+C21*3</f>
        <v>45000</v>
      </c>
    </row>
    <row r="22" customFormat="false" ht="15" hidden="false" customHeight="false" outlineLevel="0" collapsed="false">
      <c r="A22" s="34" t="s">
        <v>348</v>
      </c>
      <c r="B22" s="35" t="n">
        <f aca="false">SUMIF('Master Stack'!C:C,A22,'Master Stack'!J:J)</f>
        <v>0</v>
      </c>
      <c r="C22" s="35" t="n">
        <f aca="false">SUMIF('Master Stack'!C:C,A22,'Master Stack'!K:K)</f>
        <v>5500</v>
      </c>
      <c r="D22" s="35" t="n">
        <f aca="false">B22+C22*3</f>
        <v>16500</v>
      </c>
    </row>
    <row r="23" customFormat="false" ht="15" hidden="false" customHeight="false" outlineLevel="0" collapsed="false">
      <c r="A23" s="32" t="s">
        <v>361</v>
      </c>
      <c r="B23" s="33" t="n">
        <f aca="false">SUMIF('Master Stack'!C:C,A23,'Master Stack'!J:J)</f>
        <v>0</v>
      </c>
      <c r="C23" s="33" t="n">
        <f aca="false">SUMIF('Master Stack'!C:C,A23,'Master Stack'!K:K)</f>
        <v>13500</v>
      </c>
      <c r="D23" s="33" t="n">
        <f aca="false">B23+C23*3</f>
        <v>40500</v>
      </c>
    </row>
    <row r="24" customFormat="false" ht="15" hidden="false" customHeight="false" outlineLevel="0" collapsed="false">
      <c r="A24" s="34" t="s">
        <v>377</v>
      </c>
      <c r="B24" s="35" t="n">
        <f aca="false">SUMIF('Master Stack'!C:C,A24,'Master Stack'!J:J)</f>
        <v>5000</v>
      </c>
      <c r="C24" s="35" t="n">
        <f aca="false">SUMIF('Master Stack'!C:C,A24,'Master Stack'!K:K)</f>
        <v>4000</v>
      </c>
      <c r="D24" s="35" t="n">
        <f aca="false">B24+C24*3</f>
        <v>17000</v>
      </c>
    </row>
    <row r="25" customFormat="false" ht="15" hidden="false" customHeight="false" outlineLevel="0" collapsed="false">
      <c r="A25" s="36" t="s">
        <v>965</v>
      </c>
      <c r="B25" s="37" t="n">
        <f aca="false">SUM(B5:B24)</f>
        <v>795000</v>
      </c>
      <c r="C25" s="37" t="n">
        <f aca="false">SUM(C5:C24)</f>
        <v>1259500</v>
      </c>
      <c r="D25" s="37" t="n">
        <f aca="false">SUM(D5:D24)</f>
        <v>4573500</v>
      </c>
    </row>
    <row r="27" customFormat="false" ht="15" hidden="false" customHeight="true" outlineLevel="0" collapsed="false">
      <c r="A27" s="38" t="s">
        <v>966</v>
      </c>
      <c r="B27" s="38"/>
      <c r="C27" s="38"/>
      <c r="D27" s="38"/>
    </row>
    <row r="28" customFormat="false" ht="15" hidden="false" customHeight="false" outlineLevel="0" collapsed="false">
      <c r="A28" s="38"/>
      <c r="B28" s="38"/>
      <c r="C28" s="38"/>
      <c r="D28" s="38"/>
    </row>
  </sheetData>
  <mergeCells count="3">
    <mergeCell ref="A1:D1"/>
    <mergeCell ref="A2:D2"/>
    <mergeCell ref="A27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2026-07-05T14:50:19Z</dcterms:created>
  <dc:creator>openpyxl</dc:creator>
  <dc:description/>
  <dc:language>en-US</dc:language>
  <cp:lastModifiedBy/>
  <dcterms:modified xsi:type="dcterms:W3CDTF">2026-07-05T14:53:24Z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