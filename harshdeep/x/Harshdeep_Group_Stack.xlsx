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aster Stack" sheetId="2" state="visible" r:id="rId4"/>
    <sheet name="AI Automations" sheetId="3" state="visible" r:id="rId5"/>
    <sheet name="90-Day Roadmap" sheetId="4" state="visible" r:id="rId6"/>
    <sheet name="Q-Commerce &amp; Marketplaces" sheetId="5" state="visible" r:id="rId7"/>
    <sheet name="Budget Summary" sheetId="6" state="visible" r:id="rId8"/>
  </sheets>
  <definedNames>
    <definedName function="false" hidden="true" localSheetId="1" name="_xlnm._FilterDatabase" vbProcedure="false">'Master Stack'!$A$4:$L$83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<sst xmlns="http://schemas.openxmlformats.org/spreadsheetml/2006/main" count="1073" uniqueCount="545">
  <si>
    <t xml:space="preserve">HARSHDEEP GROUP — 90-Day Scale Engine</t>
  </si>
  <si>
    <t xml:space="preserve">Aurra Hype · Designomics India · Loop In Events  |  Powered in-house by Arihant Digital  |  Prepared Jul 2026</t>
  </si>
  <si>
    <t xml:space="preserve">THE THESIS</t>
  </si>
  <si>
    <t xml:space="preserve">One founder, four assets, one flywheel</t>
  </si>
  <si>
    <t xml:space="preserve">You already own a ~10-yr digital agency (Arihant Digital). Treat it as the in-house engine that builds &amp; markets the three new brands at cost — then sell that same capability to outside clients as proof accumulates.</t>
  </si>
  <si>
    <t xml:space="preserve">Aurra Hype</t>
  </si>
  <si>
    <t xml:space="preserve">D2C streetwear / hype apparel (Bengaluru). Physical store + office launched 12 Jul. Sells online via aurahyped.com. Growth = product drops + performance ads + marketplace + quick-commerce.</t>
  </si>
  <si>
    <t xml:space="preserve">Designomics India</t>
  </si>
  <si>
    <t xml:space="preserve">Personalised gifting + merch + apparel (custom boxes, stickers, mugs, oversized tees, workshops, corporate gifting). Growth = corporate gifting contracts + custom-box e-comm + B2B2C.</t>
  </si>
  <si>
    <t xml:space="preserve">Loop In Events</t>
  </si>
  <si>
    <t xml:space="preserve">Event management &amp; experiential. NAME CONFLICT: 'Loop In Events' + loopinevents.com already belong to an established Canadian planner (Michelle Munro). Rebrand + trademark strongly advised — see Roadmap &amp; Doc.</t>
  </si>
  <si>
    <t xml:space="preserve">Arihant Digital (existing)</t>
  </si>
  <si>
    <t xml:space="preserve">The unfair advantage. Supplies web, performance marketing, SEO/GEO, automation &amp; analytics to all three at internal cost, then externalises as a productised agency offer.</t>
  </si>
  <si>
    <t xml:space="preserve">HOW TO READ THIS WORKBOOK</t>
  </si>
  <si>
    <t xml:space="preserve">Master Stack</t>
  </si>
  <si>
    <t xml:space="preserve">Every service, software &amp; automation the group needs, tagged by business, priority, in-house-vs-buy, vendor and cost.</t>
  </si>
  <si>
    <t xml:space="preserve">AI Automations</t>
  </si>
  <si>
    <t xml:space="preserve">Specific automations to build (trigger → action → tools → impact).</t>
  </si>
  <si>
    <t xml:space="preserve">90-Day Roadmap</t>
  </si>
  <si>
    <t xml:space="preserve">Week-by-week plan across all three brands with the 'proof' KPI for each phase.</t>
  </si>
  <si>
    <t xml:space="preserve">Budget Summary</t>
  </si>
  <si>
    <t xml:space="preserve">Setup + monthly spend rolled up by domain (aggressive-spend scenario).</t>
  </si>
  <si>
    <t xml:space="preserve">Q-Commerce &amp; Marketplaces</t>
  </si>
  <si>
    <t xml:space="preserve">Channel-by-channel onboarding tracker with real 2026 India costs &amp; fit.</t>
  </si>
  <si>
    <t xml:space="preserve">LEGEND</t>
  </si>
  <si>
    <t xml:space="preserve">Priority</t>
  </si>
  <si>
    <t xml:space="preserve">P0 = do in Month 1 (foundation)  ·  P1 = Month 2 (engine)  ·  P2 = Month 3 (scale)</t>
  </si>
  <si>
    <t xml:space="preserve">In-house vs Buy</t>
  </si>
  <si>
    <t xml:space="preserve">In-house: Arihant = digital/marketing  ·  In-house: Designomics = design/print/merch  ·  Buy = external SaaS/vendor  ·  Hybrid = both</t>
  </si>
  <si>
    <t xml:space="preserve">Costs</t>
  </si>
  <si>
    <t xml:space="preserve">INR. 'Aggressive spend to scale' scenario. Ad budgets are separate line items, not tool costs.</t>
  </si>
  <si>
    <t xml:space="preserve">MASTER STACK — Services · Software · Automations (all 3 brands)</t>
  </si>
  <si>
    <t xml:space="preserve">Aggressive-spend scenario · Ad budgets shown as monthly line items · In-house = built by Arihant/Designomics at internal cost</t>
  </si>
  <si>
    <t xml:space="preserve">#</t>
  </si>
  <si>
    <t xml:space="preserve">Business</t>
  </si>
  <si>
    <t xml:space="preserve">Domain</t>
  </si>
  <si>
    <t xml:space="preserve">Item / Capability</t>
  </si>
  <si>
    <t xml:space="preserve">What it does &amp; why it matters</t>
  </si>
  <si>
    <t xml:space="preserve">Type</t>
  </si>
  <si>
    <t xml:space="preserve">Recommended Tool / Vendor</t>
  </si>
  <si>
    <t xml:space="preserve">Setup (₹)</t>
  </si>
  <si>
    <t xml:space="preserve">Monthly (₹)</t>
  </si>
  <si>
    <t xml:space="preserve">Phase</t>
  </si>
  <si>
    <t xml:space="preserve">Group</t>
  </si>
  <si>
    <t xml:space="preserve">Brand &amp; Identity</t>
  </si>
  <si>
    <t xml:space="preserve">Group holding brand + naming architecture</t>
  </si>
  <si>
    <t xml:space="preserve">Define parent brand + how 3 sub-brands relate; fixes messy, inconsistent identity</t>
  </si>
  <si>
    <t xml:space="preserve">Service</t>
  </si>
  <si>
    <t xml:space="preserve">P0</t>
  </si>
  <si>
    <t xml:space="preserve">In-house: Designomics</t>
  </si>
  <si>
    <t xml:space="preserve">Designomics design team</t>
  </si>
  <si>
    <t xml:space="preserve">M1</t>
  </si>
  <si>
    <t xml:space="preserve">Loop In</t>
  </si>
  <si>
    <t xml:space="preserve">Rebrand (new name + logo + identity)</t>
  </si>
  <si>
    <t xml:space="preserve">Resolve Canada name clash; secure a distinct, trademarkable name</t>
  </si>
  <si>
    <t xml:space="preserve">Designomics + IP attorney</t>
  </si>
  <si>
    <t xml:space="preserve">Brand guideline + logo refinement</t>
  </si>
  <si>
    <t xml:space="preserve">Distinguish from many 'Aura/Aurra' apparel brands; consistent look</t>
  </si>
  <si>
    <t xml:space="preserve">Designomics</t>
  </si>
  <si>
    <t xml:space="preserve">Brand system for gifting vs apparel lines</t>
  </si>
  <si>
    <t xml:space="preserve">Separate but linked identity for gifting box vs streetwear tees</t>
  </si>
  <si>
    <t xml:space="preserve">P1</t>
  </si>
  <si>
    <t xml:space="preserve">M2</t>
  </si>
  <si>
    <t xml:space="preserve">Trademark search + filing (per brand, key classes)</t>
  </si>
  <si>
    <t xml:space="preserve">Legal ownership of names/logos; blocks copycats</t>
  </si>
  <si>
    <t xml:space="preserve">Buy</t>
  </si>
  <si>
    <t xml:space="preserve">IP attorney / Vakilsearch / IPIndia</t>
  </si>
  <si>
    <t xml:space="preserve">Website &amp; E-commerce</t>
  </si>
  <si>
    <t xml:space="preserve">Shopify store (migrate/upgrade)</t>
  </si>
  <si>
    <t xml:space="preserve">Fast, conversion-optimised storefront + apps ecosystem</t>
  </si>
  <si>
    <t xml:space="preserve">SaaS</t>
  </si>
  <si>
    <t xml:space="preserve">In-house: Arihant</t>
  </si>
  <si>
    <t xml:space="preserve">Shopify (Basic→Growth)</t>
  </si>
  <si>
    <t xml:space="preserve">Store upgrade / replatform from Wix</t>
  </si>
  <si>
    <t xml:space="preserve">Wix limits apps, speed, custom-box UX; move to Shopify</t>
  </si>
  <si>
    <t xml:space="preserve">Shopify + custom-box app</t>
  </si>
  <si>
    <t xml:space="preserve">Website + lead-capture + portfolio</t>
  </si>
  <si>
    <t xml:space="preserve">Booking enquiries, case studies, packages</t>
  </si>
  <si>
    <t xml:space="preserve">Webflow / WordPress</t>
  </si>
  <si>
    <t xml:space="preserve">Custom domains, SSL, email, DNS</t>
  </si>
  <si>
    <t xml:space="preserve">Professional infra across brands</t>
  </si>
  <si>
    <t xml:space="preserve">Infra</t>
  </si>
  <si>
    <t xml:space="preserve">Google Workspace + Cloudflare</t>
  </si>
  <si>
    <t xml:space="preserve">Conversion apps (reviews, upsell, wishlist)</t>
  </si>
  <si>
    <t xml:space="preserve">Higher AOV &amp; trust: Judge.me, ReConvert, Loox</t>
  </si>
  <si>
    <t xml:space="preserve">Judge.me / Loox / ReConvert</t>
  </si>
  <si>
    <t xml:space="preserve">Site speed + CRO audit</t>
  </si>
  <si>
    <t xml:space="preserve">Cut bounce, lift conversion on paid traffic</t>
  </si>
  <si>
    <t xml:space="preserve">Arihant CRO</t>
  </si>
  <si>
    <t xml:space="preserve">Content &amp; Creative</t>
  </si>
  <si>
    <t xml:space="preserve">Product &amp; lifestyle photography</t>
  </si>
  <si>
    <t xml:space="preserve">Sales-grade catalog + ad creative; current visuals weak</t>
  </si>
  <si>
    <t xml:space="preserve">Hybrid</t>
  </si>
  <si>
    <t xml:space="preserve">In-house shoot + freelance photographer</t>
  </si>
  <si>
    <t xml:space="preserve">Short-form video / reels engine</t>
  </si>
  <si>
    <t xml:space="preserve">3-5 reels/week per brand for organic + ads</t>
  </si>
  <si>
    <t xml:space="preserve">In-house content pod + CapCut Pro</t>
  </si>
  <si>
    <t xml:space="preserve">Design subscription (creatives, ads, packaging art)</t>
  </si>
  <si>
    <t xml:space="preserve">Unlimited on-brand creatives at speed</t>
  </si>
  <si>
    <t xml:space="preserve">Designomics + Canva Teams / Adobe CC</t>
  </si>
  <si>
    <t xml:space="preserve">UGC creator pipeline</t>
  </si>
  <si>
    <t xml:space="preserve">Authentic content that converts on Meta/IG</t>
  </si>
  <si>
    <t xml:space="preserve">UGC creators / Trend / local</t>
  </si>
  <si>
    <t xml:space="preserve">Drop 'lookbook' + campaign shoots</t>
  </si>
  <si>
    <t xml:space="preserve">Hype cycle around each product drop</t>
  </si>
  <si>
    <t xml:space="preserve">Designomics + models</t>
  </si>
  <si>
    <t xml:space="preserve">Performance Marketing</t>
  </si>
  <si>
    <t xml:space="preserve">Meta Ads (IG/FB) — always-on</t>
  </si>
  <si>
    <t xml:space="preserve">Primary revenue driver for D2C apparel</t>
  </si>
  <si>
    <t xml:space="preserve">Service+Spend</t>
  </si>
  <si>
    <t xml:space="preserve">Meta Ads Manager</t>
  </si>
  <si>
    <t xml:space="preserve">Google Ads (Search+Shopping+PMax)</t>
  </si>
  <si>
    <t xml:space="preserve">Capture high-intent buyers + Shopping feed</t>
  </si>
  <si>
    <t xml:space="preserve">Google Ads + Merchant Center</t>
  </si>
  <si>
    <t xml:space="preserve">Meta + Google (gifting + corporate intent)</t>
  </si>
  <si>
    <t xml:space="preserve">Seasonal gifting demand + corporate keywords</t>
  </si>
  <si>
    <t xml:space="preserve">Meta + Google</t>
  </si>
  <si>
    <t xml:space="preserve">Local + LinkedIn lead-gen</t>
  </si>
  <si>
    <t xml:space="preserve">B2B event enquiries + local weddings/corporate</t>
  </si>
  <si>
    <t xml:space="preserve">Google Local + LinkedIn Ads</t>
  </si>
  <si>
    <t xml:space="preserve">Creative testing framework</t>
  </si>
  <si>
    <t xml:space="preserve">Systematic winner-finding; lower CAC</t>
  </si>
  <si>
    <t xml:space="preserve">Arihant + Motion/Triple Whale</t>
  </si>
  <si>
    <t xml:space="preserve">Organic &amp; Social</t>
  </si>
  <si>
    <t xml:space="preserve">Social media management + calendar</t>
  </si>
  <si>
    <t xml:space="preserve">Consistent posting; current presence is thin/irregular</t>
  </si>
  <si>
    <t xml:space="preserve">Metricool / Buffer + Arihant</t>
  </si>
  <si>
    <t xml:space="preserve">Community + DM management</t>
  </si>
  <si>
    <t xml:space="preserve">Fast replies convert followers to buyers</t>
  </si>
  <si>
    <t xml:space="preserve">In-house + WhatsApp/IG inbox</t>
  </si>
  <si>
    <t xml:space="preserve">Influencer seeding (micro + mid)</t>
  </si>
  <si>
    <t xml:space="preserve">Hype &amp; reach for streetwear audience</t>
  </si>
  <si>
    <t xml:space="preserve">Influencer.in / local agencies</t>
  </si>
  <si>
    <t xml:space="preserve">SEO / GEO / AEO</t>
  </si>
  <si>
    <t xml:space="preserve">Technical + on-page SEO</t>
  </si>
  <si>
    <t xml:space="preserve">Long-term organic traffic across brands</t>
  </si>
  <si>
    <t xml:space="preserve">Ahrefs/SEMrush + Arihant</t>
  </si>
  <si>
    <t xml:space="preserve">GEO / AEO (AI-answer optimisation)</t>
  </si>
  <si>
    <t xml:space="preserve">Get cited by ChatGPT/Gemini/Perplexity/AI Overviews</t>
  </si>
  <si>
    <t xml:space="preserve">Schema + Arihant GEO playbook</t>
  </si>
  <si>
    <t xml:space="preserve">Google Business Profiles + local SEO</t>
  </si>
  <si>
    <t xml:space="preserve">Store footfall (Aurra store) + local event leads</t>
  </si>
  <si>
    <t xml:space="preserve">Google Business Profile</t>
  </si>
  <si>
    <t xml:space="preserve">Content / blog engine</t>
  </si>
  <si>
    <t xml:space="preserve">Ranking + AI-citation surface; topical authority</t>
  </si>
  <si>
    <t xml:space="preserve">P2</t>
  </si>
  <si>
    <t xml:space="preserve">Arihant + Surfer/Frase</t>
  </si>
  <si>
    <t xml:space="preserve">M3</t>
  </si>
  <si>
    <t xml:space="preserve">CRM &amp; Retention</t>
  </si>
  <si>
    <t xml:space="preserve">Email + SMS + WhatsApp flows</t>
  </si>
  <si>
    <t xml:space="preserve">Abandoned cart, win-back, post-purchase = repeat revenue</t>
  </si>
  <si>
    <t xml:space="preserve">Klaviyo / WebEngage</t>
  </si>
  <si>
    <t xml:space="preserve">WhatsApp Business API + broadcast</t>
  </si>
  <si>
    <t xml:space="preserve">#1 India channel: order updates, drops, offers</t>
  </si>
  <si>
    <t xml:space="preserve">Interakt / WATI / AiSensy</t>
  </si>
  <si>
    <t xml:space="preserve">Loyalty + referral program</t>
  </si>
  <si>
    <t xml:space="preserve">Repeat purchase + word-of-mouth CAC cut</t>
  </si>
  <si>
    <t xml:space="preserve">Zithara / Loox referrals</t>
  </si>
  <si>
    <t xml:space="preserve">Sales CRM (pipeline for enquiries)</t>
  </si>
  <si>
    <t xml:space="preserve">Track event leads → quote → booking</t>
  </si>
  <si>
    <t xml:space="preserve">Zoho CRM / HubSpot Free</t>
  </si>
  <si>
    <t xml:space="preserve">AI &amp; Automation</t>
  </si>
  <si>
    <t xml:space="preserve">Automation backbone (workflows)</t>
  </si>
  <si>
    <t xml:space="preserve">Connect store, ads, CRM, sheets, WhatsApp</t>
  </si>
  <si>
    <t xml:space="preserve">n8n (self-host) / Make</t>
  </si>
  <si>
    <t xml:space="preserve">AI customer-support chatbot</t>
  </si>
  <si>
    <t xml:space="preserve">24x7 FAQ, order status, sizing on site + WhatsApp</t>
  </si>
  <si>
    <t xml:space="preserve">Chatbase / Intercom Fin</t>
  </si>
  <si>
    <t xml:space="preserve">AI content &amp; creative assist</t>
  </si>
  <si>
    <t xml:space="preserve">Copy, captions, product descriptions, variations</t>
  </si>
  <si>
    <t xml:space="preserve">ChatGPT Team / Claude</t>
  </si>
  <si>
    <t xml:space="preserve">AI product photography / model shots</t>
  </si>
  <si>
    <t xml:space="preserve">On-model images without full shoots</t>
  </si>
  <si>
    <t xml:space="preserve">Flair / Photoroom / Midjourney</t>
  </si>
  <si>
    <t xml:space="preserve">Ops copilots &amp; dashboards</t>
  </si>
  <si>
    <t xml:space="preserve">Auto daily sales/ads/inventory digest to WhatsApp</t>
  </si>
  <si>
    <t xml:space="preserve">Automation</t>
  </si>
  <si>
    <t xml:space="preserve">n8n + Sheets + GPT</t>
  </si>
  <si>
    <t xml:space="preserve">Customer Support</t>
  </si>
  <si>
    <t xml:space="preserve">Helpdesk / shared inbox</t>
  </si>
  <si>
    <t xml:space="preserve">One place for email, IG, WhatsApp, chat tickets</t>
  </si>
  <si>
    <t xml:space="preserve">Gorgias / Zoho Desk</t>
  </si>
  <si>
    <t xml:space="preserve">Returns / exchange management</t>
  </si>
  <si>
    <t xml:space="preserve">Streamlined apparel returns; protect margin</t>
  </si>
  <si>
    <t xml:space="preserve">Shiprocket / Return Prime</t>
  </si>
  <si>
    <t xml:space="preserve">Sourcing &amp; Manufacturing</t>
  </si>
  <si>
    <t xml:space="preserve">Apparel manufacturing partners</t>
  </si>
  <si>
    <t xml:space="preserve">Reliable blanks + custom cut-and-sew for tees/hoodies</t>
  </si>
  <si>
    <t xml:space="preserve">Tiruppur / Ludhiana / Bengaluru units</t>
  </si>
  <si>
    <t xml:space="preserve">Print / DTG / DTF partner</t>
  </si>
  <si>
    <t xml:space="preserve">Small-batch prints for drops without big MOQs</t>
  </si>
  <si>
    <t xml:space="preserve">Designomics + Qikink / Blinkstore</t>
  </si>
  <si>
    <t xml:space="preserve">Merch &amp; gifting supplier network</t>
  </si>
  <si>
    <t xml:space="preserve">Mugs, bottles, candles, notebooks, kits at scale</t>
  </si>
  <si>
    <t xml:space="preserve">Sourcing agents / IndiaMART verified</t>
  </si>
  <si>
    <t xml:space="preserve">Print-on-demand fallback</t>
  </si>
  <si>
    <t xml:space="preserve">Zero-inventory long-tail SKUs</t>
  </si>
  <si>
    <t xml:space="preserve">Qikink / Blinkstore / Printrove</t>
  </si>
  <si>
    <t xml:space="preserve">Quality control + tech-pack system</t>
  </si>
  <si>
    <t xml:space="preserve">Consistent sizing/quality; fewer returns</t>
  </si>
  <si>
    <t xml:space="preserve">Tech packs + QC checklist</t>
  </si>
  <si>
    <t xml:space="preserve">Packaging &amp; Unboxing</t>
  </si>
  <si>
    <t xml:space="preserve">Custom branded packaging (boxes, mailers, tape)</t>
  </si>
  <si>
    <t xml:space="preserve">Unboxing = free marketing + perceived value</t>
  </si>
  <si>
    <t xml:space="preserve">Designomics + Bizongo / Packman</t>
  </si>
  <si>
    <t xml:space="preserve">Custom gift-box engine</t>
  </si>
  <si>
    <t xml:space="preserve">Core product: build-your-own box UX + inserts</t>
  </si>
  <si>
    <t xml:space="preserve">Designomics + box configurator</t>
  </si>
  <si>
    <t xml:space="preserve">Inserts, thank-you cards, stickers, QR</t>
  </si>
  <si>
    <t xml:space="preserve">Reviews, referrals, repeat-order QR codes</t>
  </si>
  <si>
    <t xml:space="preserve">Designomics print</t>
  </si>
  <si>
    <t xml:space="preserve">Inventory &amp; Warehouse</t>
  </si>
  <si>
    <t xml:space="preserve">Inventory management system</t>
  </si>
  <si>
    <t xml:space="preserve">Single source of stock across web + marketplaces + store</t>
  </si>
  <si>
    <t xml:space="preserve">Zoho Inventory / Unicommerce</t>
  </si>
  <si>
    <t xml:space="preserve">Barcode / SKU + label system</t>
  </si>
  <si>
    <t xml:space="preserve">Scan-based picking; stops overselling</t>
  </si>
  <si>
    <t xml:space="preserve">Zoho / QuickBooks + barcode scanner</t>
  </si>
  <si>
    <t xml:space="preserve">Warehouse / stockroom setup + WMS-lite</t>
  </si>
  <si>
    <t xml:space="preserve">Organised bins for store+online fulfilment</t>
  </si>
  <si>
    <t xml:space="preserve">Racking + Zoho Inventory</t>
  </si>
  <si>
    <t xml:space="preserve">Multi-channel stock sync</t>
  </si>
  <si>
    <t xml:space="preserve">Auto-sync stock to Amazon/Flipkart/Q-comm</t>
  </si>
  <si>
    <t xml:space="preserve">Unicommerce / Vinculum</t>
  </si>
  <si>
    <t xml:space="preserve">Order &amp; Logistics</t>
  </si>
  <si>
    <t xml:space="preserve">Shipping aggregator</t>
  </si>
  <si>
    <t xml:space="preserve">Cheapest courier per pincode; NDR management</t>
  </si>
  <si>
    <t xml:space="preserve">Shiprocket / iThink Logistics</t>
  </si>
  <si>
    <t xml:space="preserve">COD + prepaid + RTO control</t>
  </si>
  <si>
    <t xml:space="preserve">Reduce RTO losses (big apparel killer)</t>
  </si>
  <si>
    <t xml:space="preserve">Shiprocket COD suite / GoKwik</t>
  </si>
  <si>
    <t xml:space="preserve">Order management system (OMS)</t>
  </si>
  <si>
    <t xml:space="preserve">Unified orders from all channels in one queue</t>
  </si>
  <si>
    <t xml:space="preserve">Unicommerce / Zoho</t>
  </si>
  <si>
    <t xml:space="preserve">Fast checkout (1-click + UPI)</t>
  </si>
  <si>
    <t xml:space="preserve">Cut checkout drop-off; UPI/COD in one tap</t>
  </si>
  <si>
    <t xml:space="preserve">GoKwik / Shopflo / Razorpay Magic</t>
  </si>
  <si>
    <t xml:space="preserve">Hyperlocal same-day (Bengaluru)</t>
  </si>
  <si>
    <t xml:space="preserve">Same-day delivery for local orders + store</t>
  </si>
  <si>
    <t xml:space="preserve">Dunzo/Porter/Shiprocket Quick</t>
  </si>
  <si>
    <t xml:space="preserve">Amazon + Flipkart apparel listings</t>
  </si>
  <si>
    <t xml:space="preserve">Massive discovery; A+ content + Cataloguing</t>
  </si>
  <si>
    <t xml:space="preserve">Seller Central + Flipkart</t>
  </si>
  <si>
    <t xml:space="preserve">Myntra / Ajio (fashion marketplaces)</t>
  </si>
  <si>
    <t xml:space="preserve">Category-native fashion buyers</t>
  </si>
  <si>
    <t xml:space="preserve">Myntra M-Now / Ajio onboarding</t>
  </si>
  <si>
    <t xml:space="preserve">Quick-commerce (gifting SKUs)</t>
  </si>
  <si>
    <t xml:space="preserve">Impulse gifting via Blinkit/Zepto/Instamart</t>
  </si>
  <si>
    <t xml:space="preserve">Service+Fee</t>
  </si>
  <si>
    <t xml:space="preserve">Blinkit/Zepto/Instamart</t>
  </si>
  <si>
    <t xml:space="preserve">Marketplace ads (Amazon/Flipkart)</t>
  </si>
  <si>
    <t xml:space="preserve">Sponsored products to win Buy Box/visibility</t>
  </si>
  <si>
    <t xml:space="preserve">Amazon Ads / Flipkart Ads</t>
  </si>
  <si>
    <t xml:space="preserve">Retail / Offline</t>
  </si>
  <si>
    <t xml:space="preserve">Retail POS + store ops</t>
  </si>
  <si>
    <t xml:space="preserve">Unify store + online inventory &amp; billing</t>
  </si>
  <si>
    <t xml:space="preserve">Shopify POS / GoFrugal</t>
  </si>
  <si>
    <t xml:space="preserve">Store launch event (12 Jul) amplification</t>
  </si>
  <si>
    <t xml:space="preserve">Turn launch into content + PR + footfall</t>
  </si>
  <si>
    <t xml:space="preserve">Arihant + Loop In events team</t>
  </si>
  <si>
    <t xml:space="preserve">Pop-ups + exhibitions + college activations</t>
  </si>
  <si>
    <t xml:space="preserve">Direct sales + UGC + email capture</t>
  </si>
  <si>
    <t xml:space="preserve">Loop In + Designomics</t>
  </si>
  <si>
    <t xml:space="preserve">Finance &amp; Compliance</t>
  </si>
  <si>
    <t xml:space="preserve">Accounting + GST software</t>
  </si>
  <si>
    <t xml:space="preserve">Clean books, GST filing across entities</t>
  </si>
  <si>
    <t xml:space="preserve">Zoho Books / TallyPrime</t>
  </si>
  <si>
    <t xml:space="preserve">Payment gateway + reconciliation</t>
  </si>
  <si>
    <t xml:space="preserve">Accept UPI/cards/COD; auto-reconcile payouts</t>
  </si>
  <si>
    <t xml:space="preserve">Razorpay / Cashfree</t>
  </si>
  <si>
    <t xml:space="preserve">CA / bookkeeping + GST filing</t>
  </si>
  <si>
    <t xml:space="preserve">Compliance for 3 brands; investor-ready books</t>
  </si>
  <si>
    <t xml:space="preserve">CA firm (retainer)</t>
  </si>
  <si>
    <t xml:space="preserve">Business structure + entity setup</t>
  </si>
  <si>
    <t xml:space="preserve">LLP/Pvt Ltd, GST, trademarks, IEC for exports</t>
  </si>
  <si>
    <t xml:space="preserve">CA + CS</t>
  </si>
  <si>
    <t xml:space="preserve">Unit economics + P&amp;L dashboard</t>
  </si>
  <si>
    <t xml:space="preserve">Know CAC, contribution margin, RTO per brand</t>
  </si>
  <si>
    <t xml:space="preserve">Sheets/Looker + Arihant</t>
  </si>
  <si>
    <t xml:space="preserve">Legal &amp; IP</t>
  </si>
  <si>
    <t xml:space="preserve">Trademark portfolio management</t>
  </si>
  <si>
    <t xml:space="preserve">Own names/logos in relevant classes; renewals</t>
  </si>
  <si>
    <t xml:space="preserve">IP attorney retainer</t>
  </si>
  <si>
    <t xml:space="preserve">Contracts, policies, vendor agreements</t>
  </si>
  <si>
    <t xml:space="preserve">Supplier, influencer, employment, T&amp;Cs</t>
  </si>
  <si>
    <t xml:space="preserve">Legal retainer / Vakilsearch</t>
  </si>
  <si>
    <t xml:space="preserve">HR &amp; Team Ops</t>
  </si>
  <si>
    <t xml:space="preserve">Core team hiring (marketing, ops, design)</t>
  </si>
  <si>
    <t xml:space="preserve">People to run the machine as it scales</t>
  </si>
  <si>
    <t xml:space="preserve">Naukri/LinkedIn + referrals</t>
  </si>
  <si>
    <t xml:space="preserve">Payroll + attendance</t>
  </si>
  <si>
    <t xml:space="preserve">Compliant salaries across brands</t>
  </si>
  <si>
    <t xml:space="preserve">RazorpayX Payroll / Keka</t>
  </si>
  <si>
    <t xml:space="preserve">SOPs + training library</t>
  </si>
  <si>
    <t xml:space="preserve">Repeatable ops; onboard fast</t>
  </si>
  <si>
    <t xml:space="preserve">Notion + Loom</t>
  </si>
  <si>
    <t xml:space="preserve">Project &amp; Internal Ops</t>
  </si>
  <si>
    <t xml:space="preserve">Project / task management</t>
  </si>
  <si>
    <t xml:space="preserve">One system for all 3 brands' workstreams</t>
  </si>
  <si>
    <t xml:space="preserve">Notion / ClickUp</t>
  </si>
  <si>
    <t xml:space="preserve">Central docs + asset library (DAM)</t>
  </si>
  <si>
    <t xml:space="preserve">Brand assets, contracts, SOPs in one place</t>
  </si>
  <si>
    <t xml:space="preserve">Google Drive / Notion</t>
  </si>
  <si>
    <t xml:space="preserve">Event project + vendor management</t>
  </si>
  <si>
    <t xml:space="preserve">Timelines, vendors, checklists per event</t>
  </si>
  <si>
    <t xml:space="preserve">Monday.com / Notion + Aisle Planner</t>
  </si>
  <si>
    <t xml:space="preserve">Analytics &amp; BI</t>
  </si>
  <si>
    <t xml:space="preserve">Web + funnel analytics</t>
  </si>
  <si>
    <t xml:space="preserve">GA4, server-side tracking, attribution</t>
  </si>
  <si>
    <t xml:space="preserve">GA4 + Meta CAPI + Stape</t>
  </si>
  <si>
    <t xml:space="preserve">E-com profit analytics</t>
  </si>
  <si>
    <t xml:space="preserve">True profit after ads/RTO/COGS per SKU</t>
  </si>
  <si>
    <t xml:space="preserve">TripleWhale / Lifetimely</t>
  </si>
  <si>
    <t xml:space="preserve">Group KPI dashboard</t>
  </si>
  <si>
    <t xml:space="preserve">One board: revenue, CAC, AOV, ROAS per brand</t>
  </si>
  <si>
    <t xml:space="preserve">Looker Studio + Arihant</t>
  </si>
  <si>
    <t xml:space="preserve">TOTALS →</t>
  </si>
  <si>
    <t xml:space="preserve">AI &amp; AUTOMATION CATALOGUE</t>
  </si>
  <si>
    <t xml:space="preserve">Build on n8n/Make + WhatsApp API + GPT/Claude. Each = trigger → action → impact.</t>
  </si>
  <si>
    <t xml:space="preserve">Trigger</t>
  </si>
  <si>
    <t xml:space="preserve">What it does</t>
  </si>
  <si>
    <t xml:space="preserve">Tools</t>
  </si>
  <si>
    <t xml:space="preserve">Impact</t>
  </si>
  <si>
    <t xml:space="preserve">Abandoned-cart WhatsApp+email recovery</t>
  </si>
  <si>
    <t xml:space="preserve">Aurra Hype / Designomics</t>
  </si>
  <si>
    <t xml:space="preserve">Checkout started, not completed</t>
  </si>
  <si>
    <t xml:space="preserve">Sends timed WhatsApp + email with product image &amp; discount</t>
  </si>
  <si>
    <t xml:space="preserve">Shopify + Klaviyo + AiSensy + n8n</t>
  </si>
  <si>
    <t xml:space="preserve">Recovers 8-15% lost carts</t>
  </si>
  <si>
    <t xml:space="preserve">Order status auto-updates on WhatsApp</t>
  </si>
  <si>
    <t xml:space="preserve">All</t>
  </si>
  <si>
    <t xml:space="preserve">Order placed / shipped / OFD / delivered</t>
  </si>
  <si>
    <t xml:space="preserve">Auto WhatsApp with tracking at each stage</t>
  </si>
  <si>
    <t xml:space="preserve">Shiprocket + WhatsApp API + n8n</t>
  </si>
  <si>
    <t xml:space="preserve">Cuts 'where is my order' tickets ~60%</t>
  </si>
  <si>
    <t xml:space="preserve">AI support chatbot (site + WhatsApp)</t>
  </si>
  <si>
    <t xml:space="preserve">Customer message</t>
  </si>
  <si>
    <t xml:space="preserve">Answers sizing, returns, order status; hands off to human</t>
  </si>
  <si>
    <t xml:space="preserve">Chatbase/Intercom Fin + order API</t>
  </si>
  <si>
    <t xml:space="preserve">24x7 support, faster conversion</t>
  </si>
  <si>
    <t xml:space="preserve">Review + UGC request flow</t>
  </si>
  <si>
    <t xml:space="preserve">Order delivered +5 days</t>
  </si>
  <si>
    <t xml:space="preserve">Requests review + photo; rewards with coupon</t>
  </si>
  <si>
    <t xml:space="preserve">Judge.me/Loox + WhatsApp + n8n</t>
  </si>
  <si>
    <t xml:space="preserve">More social proof, repeat buyers</t>
  </si>
  <si>
    <t xml:space="preserve">Daily ops digest to founder</t>
  </si>
  <si>
    <t xml:space="preserve">Every morning 8am</t>
  </si>
  <si>
    <t xml:space="preserve">Sales, ad spend, ROAS, top SKUs, low stock → WhatsApp</t>
  </si>
  <si>
    <t xml:space="preserve">Sheets + GA4 + Meta API + GPT + n8n</t>
  </si>
  <si>
    <t xml:space="preserve">One-glance control of 3 brands</t>
  </si>
  <si>
    <t xml:space="preserve">Low-stock + reorder alerts</t>
  </si>
  <si>
    <t xml:space="preserve">Stock &lt; threshold</t>
  </si>
  <si>
    <t xml:space="preserve">Alerts + drafts PO to supplier</t>
  </si>
  <si>
    <t xml:space="preserve">Zoho Inventory + n8n + WhatsApp</t>
  </si>
  <si>
    <t xml:space="preserve">Prevents stockouts on winners</t>
  </si>
  <si>
    <t xml:space="preserve">Lead capture → CRM → auto-reply</t>
  </si>
  <si>
    <t xml:space="preserve">Loop In / Designomics B2B</t>
  </si>
  <si>
    <t xml:space="preserve">Form / DM / ad lead</t>
  </si>
  <si>
    <t xml:space="preserve">Logs to CRM, sends intro + booking link, notifies sales</t>
  </si>
  <si>
    <t xml:space="preserve">Forms + Zoho CRM + n8n</t>
  </si>
  <si>
    <t xml:space="preserve">No lead dropped; faster follow-up</t>
  </si>
  <si>
    <t xml:space="preserve">AI creative &amp; caption generator</t>
  </si>
  <si>
    <t xml:space="preserve">New product / drop</t>
  </si>
  <si>
    <t xml:space="preserve">Generates ad copy, captions, descriptions, hashtags</t>
  </si>
  <si>
    <t xml:space="preserve">GPT/Claude + Canva API</t>
  </si>
  <si>
    <t xml:space="preserve">Cuts content time ~70%</t>
  </si>
  <si>
    <t xml:space="preserve">AI product photo / on-model images</t>
  </si>
  <si>
    <t xml:space="preserve">New SKU added</t>
  </si>
  <si>
    <t xml:space="preserve">Generates lifestyle/on-model shots from flat-lay</t>
  </si>
  <si>
    <t xml:space="preserve">Photoroom/Flair + Midjourney</t>
  </si>
  <si>
    <t xml:space="preserve">Catalog-ready visuals, less shoot cost</t>
  </si>
  <si>
    <t xml:space="preserve">RTO / COD risk flagging</t>
  </si>
  <si>
    <t xml:space="preserve">COD order placed</t>
  </si>
  <si>
    <t xml:space="preserve">Scores risk; auto-verify high-risk via WhatsApp</t>
  </si>
  <si>
    <t xml:space="preserve">GoKwik / Shiprocket + n8n</t>
  </si>
  <si>
    <t xml:space="preserve">Reduces RTO losses</t>
  </si>
  <si>
    <t xml:space="preserve">Influencer / UGC outreach at scale</t>
  </si>
  <si>
    <t xml:space="preserve">Weekly</t>
  </si>
  <si>
    <t xml:space="preserve">Finds + DMs relevant micro-creators, tracks replies</t>
  </si>
  <si>
    <t xml:space="preserve">Sheets + IG + GPT + n8n</t>
  </si>
  <si>
    <t xml:space="preserve">Scales seeding cheaply</t>
  </si>
  <si>
    <t xml:space="preserve">Auto marketplace listing sync</t>
  </si>
  <si>
    <t xml:space="preserve">New/edited product</t>
  </si>
  <si>
    <t xml:space="preserve">Pushes SKU to Amazon/Flipkart with A+ copy</t>
  </si>
  <si>
    <t xml:space="preserve">Unicommerce + GPT + n8n</t>
  </si>
  <si>
    <t xml:space="preserve">List everywhere in minutes</t>
  </si>
  <si>
    <t xml:space="preserve">Weekly performance report (client-ready)</t>
  </si>
  <si>
    <t xml:space="preserve">Group / Arihant clients</t>
  </si>
  <si>
    <t xml:space="preserve">Every Monday</t>
  </si>
  <si>
    <t xml:space="preserve">Auto-builds branded PDF report of KPIs</t>
  </si>
  <si>
    <t xml:space="preserve">Looker + GPT + n8n</t>
  </si>
  <si>
    <t xml:space="preserve">Also a sellable Arihant service</t>
  </si>
  <si>
    <t xml:space="preserve">Post-event feedback + upsell (Loop In)</t>
  </si>
  <si>
    <t xml:space="preserve">Event ends</t>
  </si>
  <si>
    <t xml:space="preserve">Sends feedback form + testimonial + next-service offer</t>
  </si>
  <si>
    <t xml:space="preserve">Forms + CRM + WhatsApp</t>
  </si>
  <si>
    <t xml:space="preserve">Reviews + repeat bookings</t>
  </si>
  <si>
    <t xml:space="preserve">Birthday / occasion gifting reminders</t>
  </si>
  <si>
    <t xml:space="preserve">Date in CRM approaches</t>
  </si>
  <si>
    <t xml:space="preserve">Nudges customers to gift; pre-filled cart</t>
  </si>
  <si>
    <t xml:space="preserve">CRM + Klaviyo + WhatsApp</t>
  </si>
  <si>
    <t xml:space="preserve">Recurring gifting revenue</t>
  </si>
  <si>
    <t xml:space="preserve">90-DAY SCALE ROADMAP</t>
  </si>
  <si>
    <t xml:space="preserve">Month 1 Foundation · Month 2 Engine · Month 3 Scale. 'Proof' = the milestone that shows it's working.</t>
  </si>
  <si>
    <t xml:space="preserve">Workstream</t>
  </si>
  <si>
    <t xml:space="preserve">Key Actions</t>
  </si>
  <si>
    <t xml:space="preserve">Owner</t>
  </si>
  <si>
    <t xml:space="preserve">Proof / KPI by end of phase</t>
  </si>
  <si>
    <t xml:space="preserve">M1 · Foundation (Wk 1-4)</t>
  </si>
  <si>
    <t xml:space="preserve">Legal + Brand</t>
  </si>
  <si>
    <t xml:space="preserve">Register/clean entities &amp; GST; trademark search+file all 3; rebrand Loop In; unify brand systems</t>
  </si>
  <si>
    <t xml:space="preserve">Founder + CA + Designomics</t>
  </si>
  <si>
    <t xml:space="preserve">3 TMs filed · Loop In new name live · brand kits done</t>
  </si>
  <si>
    <t xml:space="preserve">M1 · Foundation</t>
  </si>
  <si>
    <t xml:space="preserve">Tech backbone</t>
  </si>
  <si>
    <t xml:space="preserve">Shopify + domains + WhatsApp API + payments + analytics + n8n + inventory + accounting live</t>
  </si>
  <si>
    <t xml:space="preserve">Arihant</t>
  </si>
  <si>
    <t xml:space="preserve">All core systems live &amp; connected</t>
  </si>
  <si>
    <t xml:space="preserve">Store + Launch</t>
  </si>
  <si>
    <t xml:space="preserve">Upgrade store, shoot catalog, POS live, amplify 12 Jul store launch as content+PR</t>
  </si>
  <si>
    <t xml:space="preserve">Arihant + Designomics</t>
  </si>
  <si>
    <t xml:space="preserve">Store launch = 500+ footfall / big content spike</t>
  </si>
  <si>
    <t xml:space="preserve">Content engine</t>
  </si>
  <si>
    <t xml:space="preserve">Photo/video pod running; 3-5 reels/wk per brand; social calendars live</t>
  </si>
  <si>
    <t xml:space="preserve">Arihant content pod</t>
  </si>
  <si>
    <t xml:space="preserve">90+ assets shipped · consistent posting</t>
  </si>
  <si>
    <t xml:space="preserve">Packaging</t>
  </si>
  <si>
    <t xml:space="preserve">Branded boxes/mailers + inserts designed &amp; ordered; gift-box configurator live</t>
  </si>
  <si>
    <t xml:space="preserve">Branded unboxing shipping on every order</t>
  </si>
  <si>
    <t xml:space="preserve">Paid ads on</t>
  </si>
  <si>
    <t xml:space="preserve">Meta always-on live; pixel/CAPI; first creative tests</t>
  </si>
  <si>
    <t xml:space="preserve">First profitable campaigns · ROAS baseline set</t>
  </si>
  <si>
    <t xml:space="preserve">M2 · Engine (Wk 5-8)</t>
  </si>
  <si>
    <t xml:space="preserve">Scale paid + CRO</t>
  </si>
  <si>
    <t xml:space="preserve">Add Google/PMax; scale winners; CRO; email/SMS/WhatsApp flows live</t>
  </si>
  <si>
    <t xml:space="preserve">ROAS ≥ 2.5 · repeat-rate flows recovering revenue</t>
  </si>
  <si>
    <t xml:space="preserve">M2 · Engine</t>
  </si>
  <si>
    <t xml:space="preserve">Automations</t>
  </si>
  <si>
    <t xml:space="preserve">Deploy cart recovery, order updates, chatbot, ops digest, review flow</t>
  </si>
  <si>
    <t xml:space="preserve">10+ automations live · support tickets down</t>
  </si>
  <si>
    <t xml:space="preserve">Marketplaces</t>
  </si>
  <si>
    <t xml:space="preserve">Launch Amazon + Flipkart with A+ content + ads</t>
  </si>
  <si>
    <t xml:space="preserve">Live on 2 marketplaces · first marketplace sales</t>
  </si>
  <si>
    <t xml:space="preserve">Corporate gifting</t>
  </si>
  <si>
    <t xml:space="preserve">Outbound to corporates; catalog + quote system; festive push</t>
  </si>
  <si>
    <t xml:space="preserve">Founder + Arihant</t>
  </si>
  <si>
    <t xml:space="preserve">5+ corporate gifting deals in pipeline</t>
  </si>
  <si>
    <t xml:space="preserve">Pipeline</t>
  </si>
  <si>
    <t xml:space="preserve">New brand launch; lead-gen ads; CRM; 2-3 signature events booked</t>
  </si>
  <si>
    <t xml:space="preserve">Loop In + Arihant</t>
  </si>
  <si>
    <t xml:space="preserve">3 events booked · case studies started</t>
  </si>
  <si>
    <t xml:space="preserve">Retention + loyalty</t>
  </si>
  <si>
    <t xml:space="preserve">Loyalty/referral live; win-back flows; UGC pipeline</t>
  </si>
  <si>
    <t xml:space="preserve">Repeat-purchase rate rising · referral orders</t>
  </si>
  <si>
    <t xml:space="preserve">M3 · Scale (Wk 9-12)</t>
  </si>
  <si>
    <t xml:space="preserve">Scale + drops</t>
  </si>
  <si>
    <t xml:space="preserve">Big drop calendar; influencer seeding; scale ad budgets on winners</t>
  </si>
  <si>
    <t xml:space="preserve">Arihant + creators</t>
  </si>
  <si>
    <t xml:space="preserve">Record revenue month · hero SKUs identified</t>
  </si>
  <si>
    <t xml:space="preserve">M3 · Scale</t>
  </si>
  <si>
    <t xml:space="preserve">Q-commerce + POD</t>
  </si>
  <si>
    <t xml:space="preserve">Test Blinkit/Zepto gifting SKUs; POD long-tail; festive campaigns</t>
  </si>
  <si>
    <t xml:space="preserve">Q-comm pilot live · gifting revenue scaling</t>
  </si>
  <si>
    <t xml:space="preserve">Offline + PR</t>
  </si>
  <si>
    <t xml:space="preserve">Pop-ups/exhibitions/college activations; PR features</t>
  </si>
  <si>
    <t xml:space="preserve">3 activations · press mentions · email list growth</t>
  </si>
  <si>
    <t xml:space="preserve">Systemise + productise</t>
  </si>
  <si>
    <t xml:space="preserve">SOPs, hires, dashboards; package Arihant offer to sell externally</t>
  </si>
  <si>
    <t xml:space="preserve">Team hired · Arihant lands external clients (proof)</t>
  </si>
  <si>
    <t xml:space="preserve">Prove the numbers</t>
  </si>
  <si>
    <t xml:space="preserve">Full unit-economics review; investor/partner deck from real data</t>
  </si>
  <si>
    <t xml:space="preserve">Arihant + CA</t>
  </si>
  <si>
    <t xml:space="preserve">Documented growth curve · CAC/AOV/ROAS/repeat proof</t>
  </si>
  <si>
    <t xml:space="preserve">Q-COMMERCE &amp; MARKETPLACE CHANNELS</t>
  </si>
  <si>
    <t xml:space="preserve">Real 2026 India onboarding costs &amp; fit. Verify current terms at signup — platforms change fast.</t>
  </si>
  <si>
    <t xml:space="preserve">Channel</t>
  </si>
  <si>
    <t xml:space="preserve">Best for</t>
  </si>
  <si>
    <t xml:space="preserve">Onboarding cost / model</t>
  </si>
  <si>
    <t xml:space="preserve">Commission</t>
  </si>
  <si>
    <t xml:space="preserve">Fit for group</t>
  </si>
  <si>
    <t xml:space="preserve">Notes</t>
  </si>
  <si>
    <t xml:space="preserve">Amazon India</t>
  </si>
  <si>
    <t xml:space="preserve">Aurra Hype apparel, Designomics gifting</t>
  </si>
  <si>
    <t xml:space="preserve">Free account; pay-per-sale + optional FBA</t>
  </si>
  <si>
    <t xml:space="preserve">~10-20% + fees</t>
  </si>
  <si>
    <t xml:space="preserve">High — discovery + trust</t>
  </si>
  <si>
    <t xml:space="preserve">A+ content + Sponsored Products; use FBA for Prime badge</t>
  </si>
  <si>
    <t xml:space="preserve">Flipkart</t>
  </si>
  <si>
    <t xml:space="preserve">Apparel + gifting, tier 2/3 reach</t>
  </si>
  <si>
    <t xml:space="preserve">Free listing; commission per sale</t>
  </si>
  <si>
    <t xml:space="preserve">~5-20%</t>
  </si>
  <si>
    <t xml:space="preserve">High</t>
  </si>
  <si>
    <t xml:space="preserve">Flipkart Ads + Big Billion Days spikes</t>
  </si>
  <si>
    <t xml:space="preserve">Myntra</t>
  </si>
  <si>
    <t xml:space="preserve">Aurra Hype fashion-native buyers</t>
  </si>
  <si>
    <t xml:space="preserve">Brand approval needed</t>
  </si>
  <si>
    <t xml:space="preserve">~25-40% effective</t>
  </si>
  <si>
    <t xml:space="preserve">Medium-High</t>
  </si>
  <si>
    <t xml:space="preserve">Category-native; higher take rate; strong for streetwear</t>
  </si>
  <si>
    <t xml:space="preserve">Ajio</t>
  </si>
  <si>
    <t xml:space="preserve">Aurra Hype fashion</t>
  </si>
  <si>
    <t xml:space="preserve">Brand onboarding</t>
  </si>
  <si>
    <t xml:space="preserve">~high</t>
  </si>
  <si>
    <t xml:space="preserve">Medium</t>
  </si>
  <si>
    <t xml:space="preserve">Reliance ecosystem; good festive events</t>
  </si>
  <si>
    <t xml:space="preserve">Blinkit</t>
  </si>
  <si>
    <t xml:space="preserve">Designomics impulse gifting SKUs</t>
  </si>
  <si>
    <t xml:space="preserve">~₹25k/SKU/state listing (as ad credits) + ~₹2-3L/mo marketing</t>
  </si>
  <si>
    <t xml:space="preserve">15-25% + fees</t>
  </si>
  <si>
    <t xml:space="preserve">Medium (needs &gt;65% margin)</t>
  </si>
  <si>
    <t xml:space="preserve">P3</t>
  </si>
  <si>
    <t xml:space="preserve">Selective onboarding; best for fast-moving low-price gifts</t>
  </si>
  <si>
    <t xml:space="preserve">Zepto</t>
  </si>
  <si>
    <t xml:space="preserve">Premium gifting positioning</t>
  </si>
  <si>
    <t xml:space="preserve">Bundled packages ~₹5-6L to start; Atom analytics ₹30k/mo</t>
  </si>
  <si>
    <t xml:space="preserve">10-25%</t>
  </si>
  <si>
    <t xml:space="preserve">Low-Medium</t>
  </si>
  <si>
    <t xml:space="preserve">Expensive entry; only after product-market fit</t>
  </si>
  <si>
    <t xml:space="preserve">Swiggy Instamart</t>
  </si>
  <si>
    <t xml:space="preserve">Easiest q-comm entry, South India</t>
  </si>
  <si>
    <t xml:space="preserve">No onboarding fee; weekly POs ~₹2-5k</t>
  </si>
  <si>
    <t xml:space="preserve">15-25%</t>
  </si>
  <si>
    <t xml:space="preserve">Lightest commitment to test q-commerce</t>
  </si>
  <si>
    <t xml:space="preserve">Meesho</t>
  </si>
  <si>
    <t xml:space="preserve">Value gifting / stickers volume</t>
  </si>
  <si>
    <t xml:space="preserve">Free; 0% commission model</t>
  </si>
  <si>
    <t xml:space="preserve">Low</t>
  </si>
  <si>
    <t xml:space="preserve">Great for low-price, high-volume Designomics SKUs</t>
  </si>
  <si>
    <t xml:space="preserve">Own D2C (Shopify)</t>
  </si>
  <si>
    <t xml:space="preserve">All — highest margin</t>
  </si>
  <si>
    <t xml:space="preserve">Owned stack</t>
  </si>
  <si>
    <t xml:space="preserve">0% (only gateway ~2%)</t>
  </si>
  <si>
    <t xml:space="preserve">Core</t>
  </si>
  <si>
    <t xml:space="preserve">Always the priority channel; marketplaces feed it</t>
  </si>
  <si>
    <t xml:space="preserve">WhatsApp Commerce</t>
  </si>
  <si>
    <t xml:space="preserve">Repeat + gifting + drops</t>
  </si>
  <si>
    <t xml:space="preserve">API ~₹5-10k/mo</t>
  </si>
  <si>
    <t xml:space="preserve">Per-conversation</t>
  </si>
  <si>
    <t xml:space="preserve">Catalog + broadcast + checkout; India's highest-converting channel</t>
  </si>
  <si>
    <t xml:space="preserve">BUDGET SUMMARY — by Domain</t>
  </si>
  <si>
    <t xml:space="preserve">Rolled up live from Master Stack (SUMIF). Ad spend included in monthly. Aggressive-spend scenario.</t>
  </si>
  <si>
    <t xml:space="preserve">Setup (₹, one-time)</t>
  </si>
  <si>
    <t xml:space="preserve">3-Month Run (₹)</t>
  </si>
  <si>
    <t xml:space="preserve">TOTAL</t>
  </si>
  <si>
    <t xml:space="preserve">Note: 'In-house' work by Arihant/Designomics is shown at internal tool cost, not agency price — that spread is the group's structural margin advantage. Ad budgets scale with ROAS; treat monthly ad lines as starting floors, not caps.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</si>
</sst>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333333"/>
      <name val="Calibri"/>
      <family val="0"/>
      <charset val="1"/>
    </font>
    <font>
      <b val="true"/>
      <sz val="12"/>
      <color rgb="FF1F2A44"/>
      <name val="Calibri"/>
      <family val="0"/>
      <charset val="1"/>
    </font>
    <font>
      <b val="true"/>
      <sz val="10"/>
      <color rgb="FF2E5AAC"/>
      <name val="Calibri"/>
      <family val="0"/>
      <charset val="1"/>
    </font>
    <font>
      <sz val="10"/>
      <color rgb="FF222222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i val="true"/>
      <sz val="9"/>
      <color rgb="FF33333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"/>
      <color rgb="FF222222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1F2A4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222222"/>
      <name val="Calibri"/>
      <family val="0"/>
      <charset val="1"/>
    </font>
    <font>
      <i val="true"/>
      <sz val="9"/>
      <color rgb="FF555555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2A44"/>
        <bgColor rgb="FF222222"/>
      </patternFill>
    </fill>
    <fill>
      <patternFill patternType="solid">
        <fgColor rgb="FFF4F5F7"/>
        <bgColor rgb="FFFAFBFC"/>
      </patternFill>
    </fill>
    <fill>
      <patternFill patternType="solid">
        <fgColor rgb="FFE8EEF9"/>
        <bgColor rgb="FFF4F5F7"/>
      </patternFill>
    </fill>
    <fill>
      <patternFill patternType="solid">
        <fgColor rgb="FFB02A37"/>
        <bgColor rgb="FF993366"/>
      </patternFill>
    </fill>
    <fill>
      <patternFill patternType="solid">
        <fgColor rgb="FFFAFBFC"/>
        <bgColor rgb="FFFFFFFF"/>
      </patternFill>
    </fill>
    <fill>
      <patternFill patternType="solid">
        <fgColor rgb="FFFFF2CC"/>
        <bgColor rgb="FFFFF3C4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8EEF9"/>
      </patternFill>
    </fill>
    <fill>
      <patternFill patternType="solid">
        <fgColor rgb="FFC05621"/>
        <bgColor rgb="FFB02A37"/>
      </patternFill>
    </fill>
    <fill>
      <patternFill patternType="solid">
        <fgColor rgb="FF0E7C7B"/>
        <bgColor rgb="FF008080"/>
      </patternFill>
    </fill>
    <fill>
      <patternFill patternType="solid">
        <fgColor rgb="FFFFF3C4"/>
        <bgColor rgb="FFFFF2CC"/>
      </patternFill>
    </fill>
    <fill>
      <patternFill patternType="solid">
        <fgColor rgb="FF777777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14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AFB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8EEF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E7C7B"/>
          <bgColor rgb="FF000000"/>
        </patternFill>
      </fill>
    </dxf>
    <dxf>
      <fill>
        <patternFill patternType="solid">
          <fgColor rgb="FFB02A37"/>
          <bgColor rgb="FF000000"/>
        </patternFill>
      </fill>
    </dxf>
    <dxf>
      <fill>
        <patternFill patternType="solid">
          <fgColor rgb="FFC0562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FAFBFC"/>
      <rgbColor rgb="FF777777"/>
      <rgbColor rgb="FF9999FF"/>
      <rgbColor rgb="FFB02A37"/>
      <rgbColor rgb="FFFFF3C4"/>
      <rgbColor rgb="FFE8EEF9"/>
      <rgbColor rgb="FF660066"/>
      <rgbColor rgb="FFFF8080"/>
      <rgbColor rgb="FF2E5AA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5F7"/>
      <rgbColor rgb="FFE2EFDA"/>
      <rgbColor rgb="FFFFF2C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2A44"/>
      <rgbColor rgb="FF339966"/>
      <rgbColor rgb="FF003300"/>
      <rgbColor rgb="FF222222"/>
      <rgbColor rgb="FFC0562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4"/>
  </cols>
  <sheetData>
    <row r="1" customFormat="false" ht="30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true" outlineLevel="0" collapsed="false">
      <c r="A4" s="3" t="s">
        <v>2</v>
      </c>
      <c r="B4" s="3"/>
    </row>
    <row r="5" customFormat="false" ht="20.85" hidden="false" customHeight="false" outlineLevel="0" collapsed="false">
      <c r="A5" s="4" t="s">
        <v>3</v>
      </c>
      <c r="B5" s="5" t="s">
        <v>4</v>
      </c>
    </row>
    <row r="6" customFormat="false" ht="20.85" hidden="false" customHeight="false" outlineLevel="0" collapsed="false">
      <c r="A6" s="4" t="s">
        <v>5</v>
      </c>
      <c r="B6" s="5" t="s">
        <v>6</v>
      </c>
    </row>
    <row r="7" customFormat="false" ht="20.85" hidden="false" customHeight="false" outlineLevel="0" collapsed="false">
      <c r="A7" s="4" t="s">
        <v>7</v>
      </c>
      <c r="B7" s="5" t="s">
        <v>8</v>
      </c>
    </row>
    <row r="8" customFormat="false" ht="20.85" hidden="false" customHeight="false" outlineLevel="0" collapsed="false">
      <c r="A8" s="4" t="s">
        <v>9</v>
      </c>
      <c r="B8" s="5" t="s">
        <v>10</v>
      </c>
    </row>
    <row r="9" customFormat="false" ht="20.8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/>
      <c r="B10" s="5"/>
    </row>
    <row r="11" customFormat="false" ht="15" hidden="false" customHeight="true" outlineLevel="0" collapsed="false">
      <c r="A11" s="3" t="s">
        <v>13</v>
      </c>
      <c r="B11" s="3"/>
    </row>
    <row r="12" customFormat="false" ht="15" hidden="false" customHeight="false" outlineLevel="0" collapsed="false">
      <c r="A12" s="4" t="s">
        <v>14</v>
      </c>
      <c r="B12" s="5" t="s">
        <v>15</v>
      </c>
    </row>
    <row r="13" customFormat="false" ht="15" hidden="false" customHeight="false" outlineLevel="0" collapsed="false">
      <c r="A13" s="4" t="s">
        <v>16</v>
      </c>
      <c r="B13" s="5" t="s">
        <v>17</v>
      </c>
    </row>
    <row r="14" customFormat="false" ht="15" hidden="false" customHeight="false" outlineLevel="0" collapsed="false">
      <c r="A14" s="4" t="s">
        <v>18</v>
      </c>
      <c r="B14" s="5" t="s">
        <v>19</v>
      </c>
    </row>
    <row r="15" customFormat="false" ht="15" hidden="false" customHeight="false" outlineLevel="0" collapsed="false">
      <c r="A15" s="4" t="s">
        <v>20</v>
      </c>
      <c r="B15" s="5" t="s">
        <v>21</v>
      </c>
    </row>
    <row r="16" customFormat="false" ht="15" hidden="false" customHeight="false" outlineLevel="0" collapsed="false">
      <c r="A16" s="4" t="s">
        <v>22</v>
      </c>
      <c r="B16" s="5" t="s">
        <v>23</v>
      </c>
    </row>
    <row r="17" customFormat="false" ht="15" hidden="false" customHeight="false" outlineLevel="0" collapsed="false">
      <c r="A17" s="4"/>
      <c r="B17" s="5"/>
    </row>
    <row r="18" customFormat="false" ht="15" hidden="false" customHeight="true" outlineLevel="0" collapsed="false">
      <c r="A18" s="3" t="s">
        <v>24</v>
      </c>
      <c r="B18" s="3"/>
    </row>
    <row r="19" customFormat="false" ht="15" hidden="false" customHeight="false" outlineLevel="0" collapsed="false">
      <c r="A19" s="4" t="s">
        <v>25</v>
      </c>
      <c r="B19" s="5" t="s">
        <v>26</v>
      </c>
    </row>
    <row r="20" customFormat="false" ht="15" hidden="false" customHeight="false" outlineLevel="0" collapsed="false">
      <c r="A20" s="4" t="s">
        <v>27</v>
      </c>
      <c r="B20" s="5" t="s">
        <v>28</v>
      </c>
    </row>
    <row r="21" customFormat="false" ht="15" hidden="false" customHeight="false" outlineLevel="0" collapsed="false">
      <c r="A21" s="4" t="s">
        <v>29</v>
      </c>
      <c r="B21" s="5" t="s">
        <v>30</v>
      </c>
    </row>
  </sheetData>
  <mergeCells count="5">
    <mergeCell ref="A1:B1"/>
    <mergeCell ref="A2:B2"/>
    <mergeCell ref="A4:B4"/>
    <mergeCell ref="A11:B11"/>
    <mergeCell ref="A18:B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20"/>
    <col collapsed="false" customWidth="true" hidden="false" outlineLevel="0" max="9" min="9" style="0" width="26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7"/>
  </cols>
  <sheetData>
    <row r="1" customFormat="false" ht="27.75" hidden="false" customHeight="true" outlineLevel="0" collapsed="false">
      <c r="A1" s="6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5.75" hidden="false" customHeight="true" outlineLevel="0" collapsed="false">
      <c r="A2" s="7" t="s">
        <v>32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23.85" hidden="false" customHeight="false" outlineLevel="0" collapsed="false">
      <c r="A4" s="8" t="s">
        <v>33</v>
      </c>
      <c r="B4" s="8" t="s">
        <v>34</v>
      </c>
      <c r="C4" s="8" t="s">
        <v>35</v>
      </c>
      <c r="D4" s="8" t="s">
        <v>36</v>
      </c>
      <c r="E4" s="8" t="s">
        <v>37</v>
      </c>
      <c r="F4" s="8" t="s">
        <v>38</v>
      </c>
      <c r="G4" s="8" t="s">
        <v>25</v>
      </c>
      <c r="H4" s="8" t="s">
        <v>27</v>
      </c>
      <c r="I4" s="8" t="s">
        <v>39</v>
      </c>
      <c r="J4" s="8" t="s">
        <v>40</v>
      </c>
      <c r="K4" s="8" t="s">
        <v>41</v>
      </c>
      <c r="L4" s="8" t="s">
        <v>42</v>
      </c>
    </row>
    <row r="5" customFormat="false" ht="19.4" hidden="false" customHeight="false" outlineLevel="0" collapsed="false">
      <c r="A5" s="9" t="n">
        <v>1</v>
      </c>
      <c r="B5" s="10" t="s">
        <v>43</v>
      </c>
      <c r="C5" s="11" t="s">
        <v>44</v>
      </c>
      <c r="D5" s="11" t="s">
        <v>45</v>
      </c>
      <c r="E5" s="11" t="s">
        <v>46</v>
      </c>
      <c r="F5" s="9" t="s">
        <v>47</v>
      </c>
      <c r="G5" s="12" t="s">
        <v>48</v>
      </c>
      <c r="H5" s="11" t="s">
        <v>49</v>
      </c>
      <c r="I5" s="11" t="s">
        <v>50</v>
      </c>
      <c r="J5" s="13" t="n">
        <v>40000</v>
      </c>
      <c r="K5" s="13" t="n">
        <v>0</v>
      </c>
      <c r="L5" s="9" t="s">
        <v>51</v>
      </c>
    </row>
    <row r="6" customFormat="false" ht="19.4" hidden="false" customHeight="false" outlineLevel="0" collapsed="false">
      <c r="A6" s="14" t="n">
        <v>2</v>
      </c>
      <c r="B6" s="15" t="s">
        <v>52</v>
      </c>
      <c r="C6" s="16" t="s">
        <v>44</v>
      </c>
      <c r="D6" s="16" t="s">
        <v>53</v>
      </c>
      <c r="E6" s="16" t="s">
        <v>54</v>
      </c>
      <c r="F6" s="14" t="s">
        <v>47</v>
      </c>
      <c r="G6" s="12" t="s">
        <v>48</v>
      </c>
      <c r="H6" s="16" t="s">
        <v>49</v>
      </c>
      <c r="I6" s="16" t="s">
        <v>55</v>
      </c>
      <c r="J6" s="13" t="n">
        <v>60000</v>
      </c>
      <c r="K6" s="13" t="n">
        <v>0</v>
      </c>
      <c r="L6" s="14" t="s">
        <v>51</v>
      </c>
    </row>
    <row r="7" customFormat="false" ht="19.4" hidden="false" customHeight="false" outlineLevel="0" collapsed="false">
      <c r="A7" s="9" t="n">
        <v>3</v>
      </c>
      <c r="B7" s="17" t="s">
        <v>5</v>
      </c>
      <c r="C7" s="11" t="s">
        <v>44</v>
      </c>
      <c r="D7" s="11" t="s">
        <v>56</v>
      </c>
      <c r="E7" s="11" t="s">
        <v>57</v>
      </c>
      <c r="F7" s="9" t="s">
        <v>47</v>
      </c>
      <c r="G7" s="12" t="s">
        <v>48</v>
      </c>
      <c r="H7" s="11" t="s">
        <v>49</v>
      </c>
      <c r="I7" s="11" t="s">
        <v>50</v>
      </c>
      <c r="J7" s="13" t="n">
        <v>30000</v>
      </c>
      <c r="K7" s="13" t="n">
        <v>0</v>
      </c>
      <c r="L7" s="9" t="s">
        <v>51</v>
      </c>
    </row>
    <row r="8" customFormat="false" ht="15" hidden="false" customHeight="false" outlineLevel="0" collapsed="false">
      <c r="A8" s="14" t="n">
        <v>4</v>
      </c>
      <c r="B8" s="18" t="s">
        <v>58</v>
      </c>
      <c r="C8" s="16" t="s">
        <v>44</v>
      </c>
      <c r="D8" s="16" t="s">
        <v>59</v>
      </c>
      <c r="E8" s="16" t="s">
        <v>60</v>
      </c>
      <c r="F8" s="14" t="s">
        <v>47</v>
      </c>
      <c r="G8" s="19" t="s">
        <v>61</v>
      </c>
      <c r="H8" s="16" t="s">
        <v>49</v>
      </c>
      <c r="I8" s="16" t="s">
        <v>50</v>
      </c>
      <c r="J8" s="13" t="n">
        <v>20000</v>
      </c>
      <c r="K8" s="13" t="n">
        <v>0</v>
      </c>
      <c r="L8" s="14" t="s">
        <v>62</v>
      </c>
    </row>
    <row r="9" customFormat="false" ht="19.4" hidden="false" customHeight="false" outlineLevel="0" collapsed="false">
      <c r="A9" s="9" t="n">
        <v>5</v>
      </c>
      <c r="B9" s="10" t="s">
        <v>43</v>
      </c>
      <c r="C9" s="11" t="s">
        <v>44</v>
      </c>
      <c r="D9" s="11" t="s">
        <v>63</v>
      </c>
      <c r="E9" s="11" t="s">
        <v>64</v>
      </c>
      <c r="F9" s="9" t="s">
        <v>47</v>
      </c>
      <c r="G9" s="12" t="s">
        <v>48</v>
      </c>
      <c r="H9" s="11" t="s">
        <v>65</v>
      </c>
      <c r="I9" s="11" t="s">
        <v>66</v>
      </c>
      <c r="J9" s="13" t="n">
        <v>45000</v>
      </c>
      <c r="K9" s="13" t="n">
        <v>0</v>
      </c>
      <c r="L9" s="9" t="s">
        <v>51</v>
      </c>
    </row>
    <row r="10" customFormat="false" ht="15" hidden="false" customHeight="false" outlineLevel="0" collapsed="false">
      <c r="A10" s="14" t="n">
        <v>6</v>
      </c>
      <c r="B10" s="17" t="s">
        <v>5</v>
      </c>
      <c r="C10" s="16" t="s">
        <v>67</v>
      </c>
      <c r="D10" s="16" t="s">
        <v>68</v>
      </c>
      <c r="E10" s="16" t="s">
        <v>69</v>
      </c>
      <c r="F10" s="14" t="s">
        <v>70</v>
      </c>
      <c r="G10" s="12" t="s">
        <v>48</v>
      </c>
      <c r="H10" s="16" t="s">
        <v>71</v>
      </c>
      <c r="I10" s="16" t="s">
        <v>72</v>
      </c>
      <c r="J10" s="13" t="n">
        <v>25000</v>
      </c>
      <c r="K10" s="13" t="n">
        <v>3500</v>
      </c>
      <c r="L10" s="14" t="s">
        <v>51</v>
      </c>
    </row>
    <row r="11" customFormat="false" ht="15" hidden="false" customHeight="false" outlineLevel="0" collapsed="false">
      <c r="A11" s="9" t="n">
        <v>7</v>
      </c>
      <c r="B11" s="18" t="s">
        <v>58</v>
      </c>
      <c r="C11" s="11" t="s">
        <v>67</v>
      </c>
      <c r="D11" s="11" t="s">
        <v>73</v>
      </c>
      <c r="E11" s="11" t="s">
        <v>74</v>
      </c>
      <c r="F11" s="9" t="s">
        <v>70</v>
      </c>
      <c r="G11" s="19" t="s">
        <v>61</v>
      </c>
      <c r="H11" s="11" t="s">
        <v>71</v>
      </c>
      <c r="I11" s="11" t="s">
        <v>75</v>
      </c>
      <c r="J11" s="13" t="n">
        <v>30000</v>
      </c>
      <c r="K11" s="13" t="n">
        <v>3500</v>
      </c>
      <c r="L11" s="9" t="s">
        <v>62</v>
      </c>
    </row>
    <row r="12" customFormat="false" ht="15" hidden="false" customHeight="false" outlineLevel="0" collapsed="false">
      <c r="A12" s="14" t="n">
        <v>8</v>
      </c>
      <c r="B12" s="15" t="s">
        <v>52</v>
      </c>
      <c r="C12" s="16" t="s">
        <v>67</v>
      </c>
      <c r="D12" s="16" t="s">
        <v>76</v>
      </c>
      <c r="E12" s="16" t="s">
        <v>77</v>
      </c>
      <c r="F12" s="14" t="s">
        <v>47</v>
      </c>
      <c r="G12" s="12" t="s">
        <v>48</v>
      </c>
      <c r="H12" s="16" t="s">
        <v>71</v>
      </c>
      <c r="I12" s="16" t="s">
        <v>78</v>
      </c>
      <c r="J12" s="13" t="n">
        <v>25000</v>
      </c>
      <c r="K12" s="13" t="n">
        <v>1500</v>
      </c>
      <c r="L12" s="14" t="s">
        <v>51</v>
      </c>
    </row>
    <row r="13" customFormat="false" ht="15" hidden="false" customHeight="false" outlineLevel="0" collapsed="false">
      <c r="A13" s="9" t="n">
        <v>9</v>
      </c>
      <c r="B13" s="10" t="s">
        <v>43</v>
      </c>
      <c r="C13" s="11" t="s">
        <v>67</v>
      </c>
      <c r="D13" s="11" t="s">
        <v>79</v>
      </c>
      <c r="E13" s="11" t="s">
        <v>80</v>
      </c>
      <c r="F13" s="9" t="s">
        <v>81</v>
      </c>
      <c r="G13" s="12" t="s">
        <v>48</v>
      </c>
      <c r="H13" s="11" t="s">
        <v>71</v>
      </c>
      <c r="I13" s="11" t="s">
        <v>82</v>
      </c>
      <c r="J13" s="13" t="n">
        <v>5000</v>
      </c>
      <c r="K13" s="13" t="n">
        <v>3000</v>
      </c>
      <c r="L13" s="9" t="s">
        <v>51</v>
      </c>
    </row>
    <row r="14" customFormat="false" ht="15" hidden="false" customHeight="false" outlineLevel="0" collapsed="false">
      <c r="A14" s="14" t="n">
        <v>10</v>
      </c>
      <c r="B14" s="17" t="s">
        <v>5</v>
      </c>
      <c r="C14" s="16" t="s">
        <v>67</v>
      </c>
      <c r="D14" s="16" t="s">
        <v>83</v>
      </c>
      <c r="E14" s="16" t="s">
        <v>84</v>
      </c>
      <c r="F14" s="14" t="s">
        <v>70</v>
      </c>
      <c r="G14" s="19" t="s">
        <v>61</v>
      </c>
      <c r="H14" s="16" t="s">
        <v>65</v>
      </c>
      <c r="I14" s="16" t="s">
        <v>85</v>
      </c>
      <c r="J14" s="13" t="n">
        <v>0</v>
      </c>
      <c r="K14" s="13" t="n">
        <v>4000</v>
      </c>
      <c r="L14" s="14" t="s">
        <v>62</v>
      </c>
    </row>
    <row r="15" customFormat="false" ht="15" hidden="false" customHeight="false" outlineLevel="0" collapsed="false">
      <c r="A15" s="9" t="n">
        <v>11</v>
      </c>
      <c r="B15" s="17" t="s">
        <v>5</v>
      </c>
      <c r="C15" s="11" t="s">
        <v>67</v>
      </c>
      <c r="D15" s="11" t="s">
        <v>86</v>
      </c>
      <c r="E15" s="11" t="s">
        <v>87</v>
      </c>
      <c r="F15" s="9" t="s">
        <v>47</v>
      </c>
      <c r="G15" s="19" t="s">
        <v>61</v>
      </c>
      <c r="H15" s="11" t="s">
        <v>71</v>
      </c>
      <c r="I15" s="11" t="s">
        <v>88</v>
      </c>
      <c r="J15" s="13" t="n">
        <v>15000</v>
      </c>
      <c r="K15" s="13" t="n">
        <v>0</v>
      </c>
      <c r="L15" s="9" t="s">
        <v>62</v>
      </c>
    </row>
    <row r="16" customFormat="false" ht="19.4" hidden="false" customHeight="false" outlineLevel="0" collapsed="false">
      <c r="A16" s="14" t="n">
        <v>12</v>
      </c>
      <c r="B16" s="10" t="s">
        <v>43</v>
      </c>
      <c r="C16" s="16" t="s">
        <v>89</v>
      </c>
      <c r="D16" s="16" t="s">
        <v>90</v>
      </c>
      <c r="E16" s="16" t="s">
        <v>91</v>
      </c>
      <c r="F16" s="14" t="s">
        <v>47</v>
      </c>
      <c r="G16" s="12" t="s">
        <v>48</v>
      </c>
      <c r="H16" s="16" t="s">
        <v>92</v>
      </c>
      <c r="I16" s="16" t="s">
        <v>93</v>
      </c>
      <c r="J16" s="13" t="n">
        <v>60000</v>
      </c>
      <c r="K16" s="13" t="n">
        <v>20000</v>
      </c>
      <c r="L16" s="14" t="s">
        <v>51</v>
      </c>
    </row>
    <row r="17" customFormat="false" ht="15" hidden="false" customHeight="false" outlineLevel="0" collapsed="false">
      <c r="A17" s="9" t="n">
        <v>13</v>
      </c>
      <c r="B17" s="10" t="s">
        <v>43</v>
      </c>
      <c r="C17" s="11" t="s">
        <v>89</v>
      </c>
      <c r="D17" s="11" t="s">
        <v>94</v>
      </c>
      <c r="E17" s="11" t="s">
        <v>95</v>
      </c>
      <c r="F17" s="9" t="s">
        <v>47</v>
      </c>
      <c r="G17" s="12" t="s">
        <v>48</v>
      </c>
      <c r="H17" s="11" t="s">
        <v>71</v>
      </c>
      <c r="I17" s="11" t="s">
        <v>96</v>
      </c>
      <c r="J17" s="13" t="n">
        <v>20000</v>
      </c>
      <c r="K17" s="13" t="n">
        <v>15000</v>
      </c>
      <c r="L17" s="9" t="s">
        <v>51</v>
      </c>
    </row>
    <row r="18" customFormat="false" ht="19.4" hidden="false" customHeight="false" outlineLevel="0" collapsed="false">
      <c r="A18" s="14" t="n">
        <v>14</v>
      </c>
      <c r="B18" s="10" t="s">
        <v>43</v>
      </c>
      <c r="C18" s="16" t="s">
        <v>89</v>
      </c>
      <c r="D18" s="16" t="s">
        <v>97</v>
      </c>
      <c r="E18" s="16" t="s">
        <v>98</v>
      </c>
      <c r="F18" s="14" t="s">
        <v>49</v>
      </c>
      <c r="G18" s="12" t="s">
        <v>48</v>
      </c>
      <c r="H18" s="16" t="s">
        <v>49</v>
      </c>
      <c r="I18" s="16" t="s">
        <v>99</v>
      </c>
      <c r="J18" s="13" t="n">
        <v>0</v>
      </c>
      <c r="K18" s="13" t="n">
        <v>6000</v>
      </c>
      <c r="L18" s="14" t="s">
        <v>51</v>
      </c>
    </row>
    <row r="19" customFormat="false" ht="15" hidden="false" customHeight="false" outlineLevel="0" collapsed="false">
      <c r="A19" s="9" t="n">
        <v>15</v>
      </c>
      <c r="B19" s="10" t="s">
        <v>43</v>
      </c>
      <c r="C19" s="11" t="s">
        <v>89</v>
      </c>
      <c r="D19" s="11" t="s">
        <v>100</v>
      </c>
      <c r="E19" s="11" t="s">
        <v>101</v>
      </c>
      <c r="F19" s="9" t="s">
        <v>47</v>
      </c>
      <c r="G19" s="19" t="s">
        <v>61</v>
      </c>
      <c r="H19" s="11" t="s">
        <v>65</v>
      </c>
      <c r="I19" s="11" t="s">
        <v>102</v>
      </c>
      <c r="J19" s="13" t="n">
        <v>0</v>
      </c>
      <c r="K19" s="13" t="n">
        <v>40000</v>
      </c>
      <c r="L19" s="9" t="s">
        <v>62</v>
      </c>
    </row>
    <row r="20" customFormat="false" ht="15" hidden="false" customHeight="false" outlineLevel="0" collapsed="false">
      <c r="A20" s="14" t="n">
        <v>16</v>
      </c>
      <c r="B20" s="17" t="s">
        <v>5</v>
      </c>
      <c r="C20" s="16" t="s">
        <v>89</v>
      </c>
      <c r="D20" s="16" t="s">
        <v>103</v>
      </c>
      <c r="E20" s="16" t="s">
        <v>104</v>
      </c>
      <c r="F20" s="14" t="s">
        <v>47</v>
      </c>
      <c r="G20" s="19" t="s">
        <v>61</v>
      </c>
      <c r="H20" s="16" t="s">
        <v>92</v>
      </c>
      <c r="I20" s="16" t="s">
        <v>105</v>
      </c>
      <c r="J20" s="13" t="n">
        <v>40000</v>
      </c>
      <c r="K20" s="13" t="n">
        <v>25000</v>
      </c>
      <c r="L20" s="14" t="s">
        <v>62</v>
      </c>
    </row>
    <row r="21" customFormat="false" ht="15" hidden="false" customHeight="false" outlineLevel="0" collapsed="false">
      <c r="A21" s="9" t="n">
        <v>17</v>
      </c>
      <c r="B21" s="17" t="s">
        <v>5</v>
      </c>
      <c r="C21" s="11" t="s">
        <v>106</v>
      </c>
      <c r="D21" s="11" t="s">
        <v>107</v>
      </c>
      <c r="E21" s="11" t="s">
        <v>108</v>
      </c>
      <c r="F21" s="9" t="s">
        <v>109</v>
      </c>
      <c r="G21" s="12" t="s">
        <v>48</v>
      </c>
      <c r="H21" s="11" t="s">
        <v>71</v>
      </c>
      <c r="I21" s="11" t="s">
        <v>110</v>
      </c>
      <c r="J21" s="13" t="n">
        <v>0</v>
      </c>
      <c r="K21" s="13" t="n">
        <v>150000</v>
      </c>
      <c r="L21" s="9" t="s">
        <v>51</v>
      </c>
    </row>
    <row r="22" customFormat="false" ht="15" hidden="false" customHeight="false" outlineLevel="0" collapsed="false">
      <c r="A22" s="14" t="n">
        <v>18</v>
      </c>
      <c r="B22" s="17" t="s">
        <v>5</v>
      </c>
      <c r="C22" s="16" t="s">
        <v>106</v>
      </c>
      <c r="D22" s="16" t="s">
        <v>111</v>
      </c>
      <c r="E22" s="16" t="s">
        <v>112</v>
      </c>
      <c r="F22" s="14" t="s">
        <v>109</v>
      </c>
      <c r="G22" s="19" t="s">
        <v>61</v>
      </c>
      <c r="H22" s="16" t="s">
        <v>71</v>
      </c>
      <c r="I22" s="16" t="s">
        <v>113</v>
      </c>
      <c r="J22" s="13" t="n">
        <v>0</v>
      </c>
      <c r="K22" s="13" t="n">
        <v>80000</v>
      </c>
      <c r="L22" s="14" t="s">
        <v>62</v>
      </c>
    </row>
    <row r="23" customFormat="false" ht="15" hidden="false" customHeight="false" outlineLevel="0" collapsed="false">
      <c r="A23" s="9" t="n">
        <v>19</v>
      </c>
      <c r="B23" s="18" t="s">
        <v>58</v>
      </c>
      <c r="C23" s="11" t="s">
        <v>106</v>
      </c>
      <c r="D23" s="11" t="s">
        <v>114</v>
      </c>
      <c r="E23" s="11" t="s">
        <v>115</v>
      </c>
      <c r="F23" s="9" t="s">
        <v>109</v>
      </c>
      <c r="G23" s="19" t="s">
        <v>61</v>
      </c>
      <c r="H23" s="11" t="s">
        <v>71</v>
      </c>
      <c r="I23" s="11" t="s">
        <v>116</v>
      </c>
      <c r="J23" s="13" t="n">
        <v>0</v>
      </c>
      <c r="K23" s="13" t="n">
        <v>80000</v>
      </c>
      <c r="L23" s="9" t="s">
        <v>62</v>
      </c>
    </row>
    <row r="24" customFormat="false" ht="15" hidden="false" customHeight="false" outlineLevel="0" collapsed="false">
      <c r="A24" s="14" t="n">
        <v>20</v>
      </c>
      <c r="B24" s="15" t="s">
        <v>52</v>
      </c>
      <c r="C24" s="16" t="s">
        <v>106</v>
      </c>
      <c r="D24" s="16" t="s">
        <v>117</v>
      </c>
      <c r="E24" s="16" t="s">
        <v>118</v>
      </c>
      <c r="F24" s="14" t="s">
        <v>109</v>
      </c>
      <c r="G24" s="19" t="s">
        <v>61</v>
      </c>
      <c r="H24" s="16" t="s">
        <v>71</v>
      </c>
      <c r="I24" s="16" t="s">
        <v>119</v>
      </c>
      <c r="J24" s="13" t="n">
        <v>0</v>
      </c>
      <c r="K24" s="13" t="n">
        <v>40000</v>
      </c>
      <c r="L24" s="14" t="s">
        <v>62</v>
      </c>
    </row>
    <row r="25" customFormat="false" ht="15" hidden="false" customHeight="false" outlineLevel="0" collapsed="false">
      <c r="A25" s="9" t="n">
        <v>21</v>
      </c>
      <c r="B25" s="10" t="s">
        <v>43</v>
      </c>
      <c r="C25" s="11" t="s">
        <v>106</v>
      </c>
      <c r="D25" s="11" t="s">
        <v>120</v>
      </c>
      <c r="E25" s="11" t="s">
        <v>121</v>
      </c>
      <c r="F25" s="9" t="s">
        <v>47</v>
      </c>
      <c r="G25" s="19" t="s">
        <v>61</v>
      </c>
      <c r="H25" s="11" t="s">
        <v>71</v>
      </c>
      <c r="I25" s="11" t="s">
        <v>122</v>
      </c>
      <c r="J25" s="13" t="n">
        <v>0</v>
      </c>
      <c r="K25" s="13" t="n">
        <v>8000</v>
      </c>
      <c r="L25" s="9" t="s">
        <v>62</v>
      </c>
    </row>
    <row r="26" customFormat="false" ht="15" hidden="false" customHeight="false" outlineLevel="0" collapsed="false">
      <c r="A26" s="14" t="n">
        <v>22</v>
      </c>
      <c r="B26" s="10" t="s">
        <v>43</v>
      </c>
      <c r="C26" s="16" t="s">
        <v>123</v>
      </c>
      <c r="D26" s="16" t="s">
        <v>124</v>
      </c>
      <c r="E26" s="16" t="s">
        <v>125</v>
      </c>
      <c r="F26" s="14" t="s">
        <v>47</v>
      </c>
      <c r="G26" s="12" t="s">
        <v>48</v>
      </c>
      <c r="H26" s="16" t="s">
        <v>71</v>
      </c>
      <c r="I26" s="16" t="s">
        <v>126</v>
      </c>
      <c r="J26" s="13" t="n">
        <v>0</v>
      </c>
      <c r="K26" s="13" t="n">
        <v>4000</v>
      </c>
      <c r="L26" s="14" t="s">
        <v>51</v>
      </c>
    </row>
    <row r="27" customFormat="false" ht="15" hidden="false" customHeight="false" outlineLevel="0" collapsed="false">
      <c r="A27" s="9" t="n">
        <v>23</v>
      </c>
      <c r="B27" s="10" t="s">
        <v>43</v>
      </c>
      <c r="C27" s="11" t="s">
        <v>123</v>
      </c>
      <c r="D27" s="11" t="s">
        <v>127</v>
      </c>
      <c r="E27" s="11" t="s">
        <v>128</v>
      </c>
      <c r="F27" s="9" t="s">
        <v>47</v>
      </c>
      <c r="G27" s="12" t="s">
        <v>48</v>
      </c>
      <c r="H27" s="11" t="s">
        <v>71</v>
      </c>
      <c r="I27" s="11" t="s">
        <v>129</v>
      </c>
      <c r="J27" s="13" t="n">
        <v>0</v>
      </c>
      <c r="K27" s="13" t="n">
        <v>6000</v>
      </c>
      <c r="L27" s="9" t="s">
        <v>51</v>
      </c>
    </row>
    <row r="28" customFormat="false" ht="15" hidden="false" customHeight="false" outlineLevel="0" collapsed="false">
      <c r="A28" s="14" t="n">
        <v>24</v>
      </c>
      <c r="B28" s="17" t="s">
        <v>5</v>
      </c>
      <c r="C28" s="16" t="s">
        <v>123</v>
      </c>
      <c r="D28" s="16" t="s">
        <v>130</v>
      </c>
      <c r="E28" s="16" t="s">
        <v>131</v>
      </c>
      <c r="F28" s="14" t="s">
        <v>109</v>
      </c>
      <c r="G28" s="19" t="s">
        <v>61</v>
      </c>
      <c r="H28" s="16" t="s">
        <v>65</v>
      </c>
      <c r="I28" s="16" t="s">
        <v>132</v>
      </c>
      <c r="J28" s="13" t="n">
        <v>0</v>
      </c>
      <c r="K28" s="13" t="n">
        <v>100000</v>
      </c>
      <c r="L28" s="14" t="s">
        <v>62</v>
      </c>
    </row>
    <row r="29" customFormat="false" ht="15" hidden="false" customHeight="false" outlineLevel="0" collapsed="false">
      <c r="A29" s="9" t="n">
        <v>25</v>
      </c>
      <c r="B29" s="10" t="s">
        <v>43</v>
      </c>
      <c r="C29" s="11" t="s">
        <v>133</v>
      </c>
      <c r="D29" s="11" t="s">
        <v>134</v>
      </c>
      <c r="E29" s="11" t="s">
        <v>135</v>
      </c>
      <c r="F29" s="9" t="s">
        <v>47</v>
      </c>
      <c r="G29" s="19" t="s">
        <v>61</v>
      </c>
      <c r="H29" s="11" t="s">
        <v>71</v>
      </c>
      <c r="I29" s="11" t="s">
        <v>136</v>
      </c>
      <c r="J29" s="13" t="n">
        <v>20000</v>
      </c>
      <c r="K29" s="13" t="n">
        <v>9000</v>
      </c>
      <c r="L29" s="9" t="s">
        <v>62</v>
      </c>
    </row>
    <row r="30" customFormat="false" ht="15" hidden="false" customHeight="false" outlineLevel="0" collapsed="false">
      <c r="A30" s="14" t="n">
        <v>26</v>
      </c>
      <c r="B30" s="10" t="s">
        <v>43</v>
      </c>
      <c r="C30" s="16" t="s">
        <v>133</v>
      </c>
      <c r="D30" s="16" t="s">
        <v>137</v>
      </c>
      <c r="E30" s="16" t="s">
        <v>138</v>
      </c>
      <c r="F30" s="14" t="s">
        <v>47</v>
      </c>
      <c r="G30" s="19" t="s">
        <v>61</v>
      </c>
      <c r="H30" s="16" t="s">
        <v>71</v>
      </c>
      <c r="I30" s="16" t="s">
        <v>139</v>
      </c>
      <c r="J30" s="13" t="n">
        <v>15000</v>
      </c>
      <c r="K30" s="13" t="n">
        <v>5000</v>
      </c>
      <c r="L30" s="14" t="s">
        <v>62</v>
      </c>
    </row>
    <row r="31" customFormat="false" ht="15" hidden="false" customHeight="false" outlineLevel="0" collapsed="false">
      <c r="A31" s="9" t="n">
        <v>27</v>
      </c>
      <c r="B31" s="10" t="s">
        <v>43</v>
      </c>
      <c r="C31" s="11" t="s">
        <v>133</v>
      </c>
      <c r="D31" s="11" t="s">
        <v>140</v>
      </c>
      <c r="E31" s="11" t="s">
        <v>141</v>
      </c>
      <c r="F31" s="9" t="s">
        <v>47</v>
      </c>
      <c r="G31" s="12" t="s">
        <v>48</v>
      </c>
      <c r="H31" s="11" t="s">
        <v>71</v>
      </c>
      <c r="I31" s="11" t="s">
        <v>142</v>
      </c>
      <c r="J31" s="13" t="n">
        <v>0</v>
      </c>
      <c r="K31" s="13" t="n">
        <v>2000</v>
      </c>
      <c r="L31" s="9" t="s">
        <v>51</v>
      </c>
    </row>
    <row r="32" customFormat="false" ht="15" hidden="false" customHeight="false" outlineLevel="0" collapsed="false">
      <c r="A32" s="14" t="n">
        <v>28</v>
      </c>
      <c r="B32" s="10" t="s">
        <v>43</v>
      </c>
      <c r="C32" s="16" t="s">
        <v>133</v>
      </c>
      <c r="D32" s="16" t="s">
        <v>143</v>
      </c>
      <c r="E32" s="16" t="s">
        <v>144</v>
      </c>
      <c r="F32" s="14" t="s">
        <v>47</v>
      </c>
      <c r="G32" s="20" t="s">
        <v>145</v>
      </c>
      <c r="H32" s="16" t="s">
        <v>71</v>
      </c>
      <c r="I32" s="16" t="s">
        <v>146</v>
      </c>
      <c r="J32" s="13" t="n">
        <v>0</v>
      </c>
      <c r="K32" s="13" t="n">
        <v>6000</v>
      </c>
      <c r="L32" s="14" t="s">
        <v>147</v>
      </c>
    </row>
    <row r="33" customFormat="false" ht="15" hidden="false" customHeight="false" outlineLevel="0" collapsed="false">
      <c r="A33" s="9" t="n">
        <v>29</v>
      </c>
      <c r="B33" s="17" t="s">
        <v>5</v>
      </c>
      <c r="C33" s="11" t="s">
        <v>148</v>
      </c>
      <c r="D33" s="11" t="s">
        <v>149</v>
      </c>
      <c r="E33" s="11" t="s">
        <v>150</v>
      </c>
      <c r="F33" s="9" t="s">
        <v>70</v>
      </c>
      <c r="G33" s="12" t="s">
        <v>48</v>
      </c>
      <c r="H33" s="11" t="s">
        <v>71</v>
      </c>
      <c r="I33" s="11" t="s">
        <v>151</v>
      </c>
      <c r="J33" s="13" t="n">
        <v>0</v>
      </c>
      <c r="K33" s="13" t="n">
        <v>9000</v>
      </c>
      <c r="L33" s="9" t="s">
        <v>51</v>
      </c>
    </row>
    <row r="34" customFormat="false" ht="15" hidden="false" customHeight="false" outlineLevel="0" collapsed="false">
      <c r="A34" s="14" t="n">
        <v>30</v>
      </c>
      <c r="B34" s="10" t="s">
        <v>43</v>
      </c>
      <c r="C34" s="16" t="s">
        <v>148</v>
      </c>
      <c r="D34" s="16" t="s">
        <v>152</v>
      </c>
      <c r="E34" s="16" t="s">
        <v>153</v>
      </c>
      <c r="F34" s="14" t="s">
        <v>70</v>
      </c>
      <c r="G34" s="12" t="s">
        <v>48</v>
      </c>
      <c r="H34" s="16" t="s">
        <v>65</v>
      </c>
      <c r="I34" s="16" t="s">
        <v>154</v>
      </c>
      <c r="J34" s="13" t="n">
        <v>5000</v>
      </c>
      <c r="K34" s="13" t="n">
        <v>5000</v>
      </c>
      <c r="L34" s="14" t="s">
        <v>51</v>
      </c>
    </row>
    <row r="35" customFormat="false" ht="15" hidden="false" customHeight="false" outlineLevel="0" collapsed="false">
      <c r="A35" s="9" t="n">
        <v>31</v>
      </c>
      <c r="B35" s="10" t="s">
        <v>43</v>
      </c>
      <c r="C35" s="11" t="s">
        <v>148</v>
      </c>
      <c r="D35" s="11" t="s">
        <v>155</v>
      </c>
      <c r="E35" s="11" t="s">
        <v>156</v>
      </c>
      <c r="F35" s="9" t="s">
        <v>70</v>
      </c>
      <c r="G35" s="19" t="s">
        <v>61</v>
      </c>
      <c r="H35" s="11" t="s">
        <v>65</v>
      </c>
      <c r="I35" s="11" t="s">
        <v>157</v>
      </c>
      <c r="J35" s="13" t="n">
        <v>0</v>
      </c>
      <c r="K35" s="13" t="n">
        <v>4000</v>
      </c>
      <c r="L35" s="9" t="s">
        <v>62</v>
      </c>
    </row>
    <row r="36" customFormat="false" ht="15" hidden="false" customHeight="false" outlineLevel="0" collapsed="false">
      <c r="A36" s="14" t="n">
        <v>32</v>
      </c>
      <c r="B36" s="15" t="s">
        <v>52</v>
      </c>
      <c r="C36" s="16" t="s">
        <v>148</v>
      </c>
      <c r="D36" s="16" t="s">
        <v>158</v>
      </c>
      <c r="E36" s="16" t="s">
        <v>159</v>
      </c>
      <c r="F36" s="14" t="s">
        <v>70</v>
      </c>
      <c r="G36" s="19" t="s">
        <v>61</v>
      </c>
      <c r="H36" s="16" t="s">
        <v>65</v>
      </c>
      <c r="I36" s="16" t="s">
        <v>160</v>
      </c>
      <c r="J36" s="13" t="n">
        <v>0</v>
      </c>
      <c r="K36" s="13" t="n">
        <v>2500</v>
      </c>
      <c r="L36" s="14" t="s">
        <v>62</v>
      </c>
    </row>
    <row r="37" customFormat="false" ht="15" hidden="false" customHeight="false" outlineLevel="0" collapsed="false">
      <c r="A37" s="9" t="n">
        <v>33</v>
      </c>
      <c r="B37" s="10" t="s">
        <v>43</v>
      </c>
      <c r="C37" s="11" t="s">
        <v>161</v>
      </c>
      <c r="D37" s="11" t="s">
        <v>162</v>
      </c>
      <c r="E37" s="11" t="s">
        <v>163</v>
      </c>
      <c r="F37" s="9" t="s">
        <v>70</v>
      </c>
      <c r="G37" s="12" t="s">
        <v>48</v>
      </c>
      <c r="H37" s="11" t="s">
        <v>71</v>
      </c>
      <c r="I37" s="11" t="s">
        <v>164</v>
      </c>
      <c r="J37" s="13" t="n">
        <v>6000</v>
      </c>
      <c r="K37" s="13" t="n">
        <v>3000</v>
      </c>
      <c r="L37" s="9" t="s">
        <v>51</v>
      </c>
    </row>
    <row r="38" customFormat="false" ht="15" hidden="false" customHeight="false" outlineLevel="0" collapsed="false">
      <c r="A38" s="14" t="n">
        <v>34</v>
      </c>
      <c r="B38" s="10" t="s">
        <v>43</v>
      </c>
      <c r="C38" s="16" t="s">
        <v>161</v>
      </c>
      <c r="D38" s="16" t="s">
        <v>165</v>
      </c>
      <c r="E38" s="16" t="s">
        <v>166</v>
      </c>
      <c r="F38" s="14" t="s">
        <v>70</v>
      </c>
      <c r="G38" s="19" t="s">
        <v>61</v>
      </c>
      <c r="H38" s="16" t="s">
        <v>71</v>
      </c>
      <c r="I38" s="16" t="s">
        <v>167</v>
      </c>
      <c r="J38" s="13" t="n">
        <v>0</v>
      </c>
      <c r="K38" s="13" t="n">
        <v>6000</v>
      </c>
      <c r="L38" s="14" t="s">
        <v>62</v>
      </c>
    </row>
    <row r="39" customFormat="false" ht="15" hidden="false" customHeight="false" outlineLevel="0" collapsed="false">
      <c r="A39" s="9" t="n">
        <v>35</v>
      </c>
      <c r="B39" s="10" t="s">
        <v>43</v>
      </c>
      <c r="C39" s="11" t="s">
        <v>161</v>
      </c>
      <c r="D39" s="11" t="s">
        <v>168</v>
      </c>
      <c r="E39" s="11" t="s">
        <v>169</v>
      </c>
      <c r="F39" s="9" t="s">
        <v>70</v>
      </c>
      <c r="G39" s="12" t="s">
        <v>48</v>
      </c>
      <c r="H39" s="11" t="s">
        <v>71</v>
      </c>
      <c r="I39" s="11" t="s">
        <v>170</v>
      </c>
      <c r="J39" s="13" t="n">
        <v>0</v>
      </c>
      <c r="K39" s="13" t="n">
        <v>5000</v>
      </c>
      <c r="L39" s="9" t="s">
        <v>51</v>
      </c>
    </row>
    <row r="40" customFormat="false" ht="15" hidden="false" customHeight="false" outlineLevel="0" collapsed="false">
      <c r="A40" s="14" t="n">
        <v>36</v>
      </c>
      <c r="B40" s="10" t="s">
        <v>43</v>
      </c>
      <c r="C40" s="16" t="s">
        <v>161</v>
      </c>
      <c r="D40" s="16" t="s">
        <v>171</v>
      </c>
      <c r="E40" s="16" t="s">
        <v>172</v>
      </c>
      <c r="F40" s="14" t="s">
        <v>70</v>
      </c>
      <c r="G40" s="19" t="s">
        <v>61</v>
      </c>
      <c r="H40" s="16" t="s">
        <v>49</v>
      </c>
      <c r="I40" s="16" t="s">
        <v>173</v>
      </c>
      <c r="J40" s="13" t="n">
        <v>0</v>
      </c>
      <c r="K40" s="13" t="n">
        <v>4000</v>
      </c>
      <c r="L40" s="14" t="s">
        <v>62</v>
      </c>
    </row>
    <row r="41" customFormat="false" ht="15" hidden="false" customHeight="false" outlineLevel="0" collapsed="false">
      <c r="A41" s="9" t="n">
        <v>37</v>
      </c>
      <c r="B41" s="10" t="s">
        <v>43</v>
      </c>
      <c r="C41" s="11" t="s">
        <v>161</v>
      </c>
      <c r="D41" s="11" t="s">
        <v>174</v>
      </c>
      <c r="E41" s="11" t="s">
        <v>175</v>
      </c>
      <c r="F41" s="9" t="s">
        <v>176</v>
      </c>
      <c r="G41" s="19" t="s">
        <v>61</v>
      </c>
      <c r="H41" s="11" t="s">
        <v>71</v>
      </c>
      <c r="I41" s="11" t="s">
        <v>177</v>
      </c>
      <c r="J41" s="13" t="n">
        <v>0</v>
      </c>
      <c r="K41" s="13" t="n">
        <v>1000</v>
      </c>
      <c r="L41" s="9" t="s">
        <v>62</v>
      </c>
    </row>
    <row r="42" customFormat="false" ht="15" hidden="false" customHeight="false" outlineLevel="0" collapsed="false">
      <c r="A42" s="14" t="n">
        <v>38</v>
      </c>
      <c r="B42" s="10" t="s">
        <v>43</v>
      </c>
      <c r="C42" s="16" t="s">
        <v>178</v>
      </c>
      <c r="D42" s="16" t="s">
        <v>179</v>
      </c>
      <c r="E42" s="16" t="s">
        <v>180</v>
      </c>
      <c r="F42" s="14" t="s">
        <v>70</v>
      </c>
      <c r="G42" s="19" t="s">
        <v>61</v>
      </c>
      <c r="H42" s="16" t="s">
        <v>65</v>
      </c>
      <c r="I42" s="16" t="s">
        <v>181</v>
      </c>
      <c r="J42" s="13" t="n">
        <v>0</v>
      </c>
      <c r="K42" s="13" t="n">
        <v>6000</v>
      </c>
      <c r="L42" s="14" t="s">
        <v>62</v>
      </c>
    </row>
    <row r="43" customFormat="false" ht="15" hidden="false" customHeight="false" outlineLevel="0" collapsed="false">
      <c r="A43" s="9" t="n">
        <v>39</v>
      </c>
      <c r="B43" s="10" t="s">
        <v>43</v>
      </c>
      <c r="C43" s="11" t="s">
        <v>178</v>
      </c>
      <c r="D43" s="11" t="s">
        <v>182</v>
      </c>
      <c r="E43" s="11" t="s">
        <v>183</v>
      </c>
      <c r="F43" s="9" t="s">
        <v>70</v>
      </c>
      <c r="G43" s="19" t="s">
        <v>61</v>
      </c>
      <c r="H43" s="11" t="s">
        <v>65</v>
      </c>
      <c r="I43" s="11" t="s">
        <v>184</v>
      </c>
      <c r="J43" s="13" t="n">
        <v>0</v>
      </c>
      <c r="K43" s="13" t="n">
        <v>3000</v>
      </c>
      <c r="L43" s="9" t="s">
        <v>62</v>
      </c>
    </row>
    <row r="44" customFormat="false" ht="19.4" hidden="false" customHeight="false" outlineLevel="0" collapsed="false">
      <c r="A44" s="14" t="n">
        <v>40</v>
      </c>
      <c r="B44" s="17" t="s">
        <v>5</v>
      </c>
      <c r="C44" s="16" t="s">
        <v>185</v>
      </c>
      <c r="D44" s="16" t="s">
        <v>186</v>
      </c>
      <c r="E44" s="16" t="s">
        <v>187</v>
      </c>
      <c r="F44" s="14" t="s">
        <v>47</v>
      </c>
      <c r="G44" s="12" t="s">
        <v>48</v>
      </c>
      <c r="H44" s="16" t="s">
        <v>65</v>
      </c>
      <c r="I44" s="16" t="s">
        <v>188</v>
      </c>
      <c r="J44" s="13" t="n">
        <v>0</v>
      </c>
      <c r="K44" s="13" t="n">
        <v>0</v>
      </c>
      <c r="L44" s="14" t="s">
        <v>51</v>
      </c>
    </row>
    <row r="45" customFormat="false" ht="15" hidden="false" customHeight="false" outlineLevel="0" collapsed="false">
      <c r="A45" s="9" t="n">
        <v>41</v>
      </c>
      <c r="B45" s="17" t="s">
        <v>5</v>
      </c>
      <c r="C45" s="11" t="s">
        <v>185</v>
      </c>
      <c r="D45" s="11" t="s">
        <v>189</v>
      </c>
      <c r="E45" s="11" t="s">
        <v>190</v>
      </c>
      <c r="F45" s="9" t="s">
        <v>47</v>
      </c>
      <c r="G45" s="12" t="s">
        <v>48</v>
      </c>
      <c r="H45" s="11" t="s">
        <v>92</v>
      </c>
      <c r="I45" s="11" t="s">
        <v>191</v>
      </c>
      <c r="J45" s="13" t="n">
        <v>0</v>
      </c>
      <c r="K45" s="13" t="n">
        <v>0</v>
      </c>
      <c r="L45" s="9" t="s">
        <v>51</v>
      </c>
    </row>
    <row r="46" customFormat="false" ht="15" hidden="false" customHeight="false" outlineLevel="0" collapsed="false">
      <c r="A46" s="14" t="n">
        <v>42</v>
      </c>
      <c r="B46" s="18" t="s">
        <v>58</v>
      </c>
      <c r="C46" s="16" t="s">
        <v>185</v>
      </c>
      <c r="D46" s="16" t="s">
        <v>192</v>
      </c>
      <c r="E46" s="16" t="s">
        <v>193</v>
      </c>
      <c r="F46" s="14" t="s">
        <v>47</v>
      </c>
      <c r="G46" s="12" t="s">
        <v>48</v>
      </c>
      <c r="H46" s="16" t="s">
        <v>65</v>
      </c>
      <c r="I46" s="16" t="s">
        <v>194</v>
      </c>
      <c r="J46" s="13" t="n">
        <v>0</v>
      </c>
      <c r="K46" s="13" t="n">
        <v>0</v>
      </c>
      <c r="L46" s="14" t="s">
        <v>51</v>
      </c>
    </row>
    <row r="47" customFormat="false" ht="15" hidden="false" customHeight="false" outlineLevel="0" collapsed="false">
      <c r="A47" s="9" t="n">
        <v>43</v>
      </c>
      <c r="B47" s="10" t="s">
        <v>43</v>
      </c>
      <c r="C47" s="11" t="s">
        <v>185</v>
      </c>
      <c r="D47" s="11" t="s">
        <v>195</v>
      </c>
      <c r="E47" s="11" t="s">
        <v>196</v>
      </c>
      <c r="F47" s="9" t="s">
        <v>47</v>
      </c>
      <c r="G47" s="19" t="s">
        <v>61</v>
      </c>
      <c r="H47" s="11" t="s">
        <v>65</v>
      </c>
      <c r="I47" s="11" t="s">
        <v>197</v>
      </c>
      <c r="J47" s="13" t="n">
        <v>0</v>
      </c>
      <c r="K47" s="13" t="n">
        <v>0</v>
      </c>
      <c r="L47" s="9" t="s">
        <v>62</v>
      </c>
    </row>
    <row r="48" customFormat="false" ht="15" hidden="false" customHeight="false" outlineLevel="0" collapsed="false">
      <c r="A48" s="14" t="n">
        <v>44</v>
      </c>
      <c r="B48" s="17" t="s">
        <v>5</v>
      </c>
      <c r="C48" s="16" t="s">
        <v>185</v>
      </c>
      <c r="D48" s="16" t="s">
        <v>198</v>
      </c>
      <c r="E48" s="16" t="s">
        <v>199</v>
      </c>
      <c r="F48" s="14" t="s">
        <v>47</v>
      </c>
      <c r="G48" s="19" t="s">
        <v>61</v>
      </c>
      <c r="H48" s="16" t="s">
        <v>49</v>
      </c>
      <c r="I48" s="16" t="s">
        <v>200</v>
      </c>
      <c r="J48" s="13" t="n">
        <v>10000</v>
      </c>
      <c r="K48" s="13" t="n">
        <v>0</v>
      </c>
      <c r="L48" s="14" t="s">
        <v>62</v>
      </c>
    </row>
    <row r="49" customFormat="false" ht="19.4" hidden="false" customHeight="false" outlineLevel="0" collapsed="false">
      <c r="A49" s="9" t="n">
        <v>45</v>
      </c>
      <c r="B49" s="10" t="s">
        <v>43</v>
      </c>
      <c r="C49" s="11" t="s">
        <v>201</v>
      </c>
      <c r="D49" s="11" t="s">
        <v>202</v>
      </c>
      <c r="E49" s="11" t="s">
        <v>203</v>
      </c>
      <c r="F49" s="9" t="s">
        <v>47</v>
      </c>
      <c r="G49" s="12" t="s">
        <v>48</v>
      </c>
      <c r="H49" s="11" t="s">
        <v>49</v>
      </c>
      <c r="I49" s="11" t="s">
        <v>204</v>
      </c>
      <c r="J49" s="13" t="n">
        <v>35000</v>
      </c>
      <c r="K49" s="13" t="n">
        <v>25000</v>
      </c>
      <c r="L49" s="9" t="s">
        <v>51</v>
      </c>
    </row>
    <row r="50" customFormat="false" ht="15" hidden="false" customHeight="false" outlineLevel="0" collapsed="false">
      <c r="A50" s="14" t="n">
        <v>46</v>
      </c>
      <c r="B50" s="18" t="s">
        <v>58</v>
      </c>
      <c r="C50" s="16" t="s">
        <v>201</v>
      </c>
      <c r="D50" s="16" t="s">
        <v>205</v>
      </c>
      <c r="E50" s="16" t="s">
        <v>206</v>
      </c>
      <c r="F50" s="14" t="s">
        <v>47</v>
      </c>
      <c r="G50" s="12" t="s">
        <v>48</v>
      </c>
      <c r="H50" s="16" t="s">
        <v>49</v>
      </c>
      <c r="I50" s="16" t="s">
        <v>207</v>
      </c>
      <c r="J50" s="13" t="n">
        <v>20000</v>
      </c>
      <c r="K50" s="13" t="n">
        <v>0</v>
      </c>
      <c r="L50" s="14" t="s">
        <v>51</v>
      </c>
    </row>
    <row r="51" customFormat="false" ht="15" hidden="false" customHeight="false" outlineLevel="0" collapsed="false">
      <c r="A51" s="9" t="n">
        <v>47</v>
      </c>
      <c r="B51" s="10" t="s">
        <v>43</v>
      </c>
      <c r="C51" s="11" t="s">
        <v>201</v>
      </c>
      <c r="D51" s="11" t="s">
        <v>208</v>
      </c>
      <c r="E51" s="11" t="s">
        <v>209</v>
      </c>
      <c r="F51" s="9" t="s">
        <v>47</v>
      </c>
      <c r="G51" s="19" t="s">
        <v>61</v>
      </c>
      <c r="H51" s="11" t="s">
        <v>49</v>
      </c>
      <c r="I51" s="11" t="s">
        <v>210</v>
      </c>
      <c r="J51" s="13" t="n">
        <v>0</v>
      </c>
      <c r="K51" s="13" t="n">
        <v>8000</v>
      </c>
      <c r="L51" s="9" t="s">
        <v>62</v>
      </c>
    </row>
    <row r="52" customFormat="false" ht="15" hidden="false" customHeight="false" outlineLevel="0" collapsed="false">
      <c r="A52" s="14" t="n">
        <v>48</v>
      </c>
      <c r="B52" s="10" t="s">
        <v>43</v>
      </c>
      <c r="C52" s="16" t="s">
        <v>211</v>
      </c>
      <c r="D52" s="16" t="s">
        <v>212</v>
      </c>
      <c r="E52" s="16" t="s">
        <v>213</v>
      </c>
      <c r="F52" s="14" t="s">
        <v>70</v>
      </c>
      <c r="G52" s="12" t="s">
        <v>48</v>
      </c>
      <c r="H52" s="16" t="s">
        <v>65</v>
      </c>
      <c r="I52" s="16" t="s">
        <v>214</v>
      </c>
      <c r="J52" s="13" t="n">
        <v>0</v>
      </c>
      <c r="K52" s="13" t="n">
        <v>5000</v>
      </c>
      <c r="L52" s="14" t="s">
        <v>51</v>
      </c>
    </row>
    <row r="53" customFormat="false" ht="19.4" hidden="false" customHeight="false" outlineLevel="0" collapsed="false">
      <c r="A53" s="9" t="n">
        <v>49</v>
      </c>
      <c r="B53" s="10" t="s">
        <v>43</v>
      </c>
      <c r="C53" s="11" t="s">
        <v>211</v>
      </c>
      <c r="D53" s="11" t="s">
        <v>215</v>
      </c>
      <c r="E53" s="11" t="s">
        <v>216</v>
      </c>
      <c r="F53" s="9" t="s">
        <v>70</v>
      </c>
      <c r="G53" s="19" t="s">
        <v>61</v>
      </c>
      <c r="H53" s="11" t="s">
        <v>65</v>
      </c>
      <c r="I53" s="11" t="s">
        <v>217</v>
      </c>
      <c r="J53" s="13" t="n">
        <v>8000</v>
      </c>
      <c r="K53" s="13" t="n">
        <v>1500</v>
      </c>
      <c r="L53" s="9" t="s">
        <v>62</v>
      </c>
    </row>
    <row r="54" customFormat="false" ht="15" hidden="false" customHeight="false" outlineLevel="0" collapsed="false">
      <c r="A54" s="14" t="n">
        <v>50</v>
      </c>
      <c r="B54" s="10" t="s">
        <v>43</v>
      </c>
      <c r="C54" s="16" t="s">
        <v>211</v>
      </c>
      <c r="D54" s="16" t="s">
        <v>218</v>
      </c>
      <c r="E54" s="16" t="s">
        <v>219</v>
      </c>
      <c r="F54" s="14" t="s">
        <v>47</v>
      </c>
      <c r="G54" s="19" t="s">
        <v>61</v>
      </c>
      <c r="H54" s="16" t="s">
        <v>65</v>
      </c>
      <c r="I54" s="16" t="s">
        <v>220</v>
      </c>
      <c r="J54" s="13" t="n">
        <v>50000</v>
      </c>
      <c r="K54" s="13" t="n">
        <v>0</v>
      </c>
      <c r="L54" s="14" t="s">
        <v>62</v>
      </c>
    </row>
    <row r="55" customFormat="false" ht="15" hidden="false" customHeight="false" outlineLevel="0" collapsed="false">
      <c r="A55" s="9" t="n">
        <v>51</v>
      </c>
      <c r="B55" s="10" t="s">
        <v>43</v>
      </c>
      <c r="C55" s="11" t="s">
        <v>211</v>
      </c>
      <c r="D55" s="11" t="s">
        <v>221</v>
      </c>
      <c r="E55" s="11" t="s">
        <v>222</v>
      </c>
      <c r="F55" s="9" t="s">
        <v>70</v>
      </c>
      <c r="G55" s="19" t="s">
        <v>61</v>
      </c>
      <c r="H55" s="11" t="s">
        <v>65</v>
      </c>
      <c r="I55" s="11" t="s">
        <v>223</v>
      </c>
      <c r="J55" s="13" t="n">
        <v>0</v>
      </c>
      <c r="K55" s="13" t="n">
        <v>8000</v>
      </c>
      <c r="L55" s="9" t="s">
        <v>62</v>
      </c>
    </row>
    <row r="56" customFormat="false" ht="15" hidden="false" customHeight="false" outlineLevel="0" collapsed="false">
      <c r="A56" s="14" t="n">
        <v>52</v>
      </c>
      <c r="B56" s="10" t="s">
        <v>43</v>
      </c>
      <c r="C56" s="16" t="s">
        <v>224</v>
      </c>
      <c r="D56" s="16" t="s">
        <v>225</v>
      </c>
      <c r="E56" s="16" t="s">
        <v>226</v>
      </c>
      <c r="F56" s="14" t="s">
        <v>70</v>
      </c>
      <c r="G56" s="12" t="s">
        <v>48</v>
      </c>
      <c r="H56" s="16" t="s">
        <v>65</v>
      </c>
      <c r="I56" s="16" t="s">
        <v>227</v>
      </c>
      <c r="J56" s="13" t="n">
        <v>0</v>
      </c>
      <c r="K56" s="13" t="n">
        <v>4000</v>
      </c>
      <c r="L56" s="14" t="s">
        <v>51</v>
      </c>
    </row>
    <row r="57" customFormat="false" ht="15" hidden="false" customHeight="false" outlineLevel="0" collapsed="false">
      <c r="A57" s="9" t="n">
        <v>53</v>
      </c>
      <c r="B57" s="10" t="s">
        <v>43</v>
      </c>
      <c r="C57" s="11" t="s">
        <v>224</v>
      </c>
      <c r="D57" s="11" t="s">
        <v>228</v>
      </c>
      <c r="E57" s="11" t="s">
        <v>229</v>
      </c>
      <c r="F57" s="9" t="s">
        <v>70</v>
      </c>
      <c r="G57" s="19" t="s">
        <v>61</v>
      </c>
      <c r="H57" s="11" t="s">
        <v>65</v>
      </c>
      <c r="I57" s="11" t="s">
        <v>230</v>
      </c>
      <c r="J57" s="13" t="n">
        <v>0</v>
      </c>
      <c r="K57" s="13" t="n">
        <v>5000</v>
      </c>
      <c r="L57" s="9" t="s">
        <v>62</v>
      </c>
    </row>
    <row r="58" customFormat="false" ht="15" hidden="false" customHeight="false" outlineLevel="0" collapsed="false">
      <c r="A58" s="14" t="n">
        <v>54</v>
      </c>
      <c r="B58" s="10" t="s">
        <v>43</v>
      </c>
      <c r="C58" s="16" t="s">
        <v>224</v>
      </c>
      <c r="D58" s="16" t="s">
        <v>231</v>
      </c>
      <c r="E58" s="16" t="s">
        <v>232</v>
      </c>
      <c r="F58" s="14" t="s">
        <v>70</v>
      </c>
      <c r="G58" s="19" t="s">
        <v>61</v>
      </c>
      <c r="H58" s="16" t="s">
        <v>65</v>
      </c>
      <c r="I58" s="16" t="s">
        <v>233</v>
      </c>
      <c r="J58" s="13" t="n">
        <v>0</v>
      </c>
      <c r="K58" s="13" t="n">
        <v>6000</v>
      </c>
      <c r="L58" s="14" t="s">
        <v>62</v>
      </c>
    </row>
    <row r="59" customFormat="false" ht="15" hidden="false" customHeight="false" outlineLevel="0" collapsed="false">
      <c r="A59" s="9" t="n">
        <v>55</v>
      </c>
      <c r="B59" s="10" t="s">
        <v>43</v>
      </c>
      <c r="C59" s="11" t="s">
        <v>224</v>
      </c>
      <c r="D59" s="11" t="s">
        <v>234</v>
      </c>
      <c r="E59" s="11" t="s">
        <v>235</v>
      </c>
      <c r="F59" s="9" t="s">
        <v>70</v>
      </c>
      <c r="G59" s="19" t="s">
        <v>61</v>
      </c>
      <c r="H59" s="11" t="s">
        <v>65</v>
      </c>
      <c r="I59" s="11" t="s">
        <v>236</v>
      </c>
      <c r="J59" s="13" t="n">
        <v>0</v>
      </c>
      <c r="K59" s="13" t="n">
        <v>5000</v>
      </c>
      <c r="L59" s="9" t="s">
        <v>62</v>
      </c>
    </row>
    <row r="60" customFormat="false" ht="15" hidden="false" customHeight="false" outlineLevel="0" collapsed="false">
      <c r="A60" s="14" t="n">
        <v>56</v>
      </c>
      <c r="B60" s="10" t="s">
        <v>43</v>
      </c>
      <c r="C60" s="16" t="s">
        <v>224</v>
      </c>
      <c r="D60" s="16" t="s">
        <v>237</v>
      </c>
      <c r="E60" s="16" t="s">
        <v>238</v>
      </c>
      <c r="F60" s="14" t="s">
        <v>47</v>
      </c>
      <c r="G60" s="20" t="s">
        <v>145</v>
      </c>
      <c r="H60" s="16" t="s">
        <v>65</v>
      </c>
      <c r="I60" s="16" t="s">
        <v>239</v>
      </c>
      <c r="J60" s="13" t="n">
        <v>0</v>
      </c>
      <c r="K60" s="13" t="n">
        <v>4000</v>
      </c>
      <c r="L60" s="14" t="s">
        <v>147</v>
      </c>
    </row>
    <row r="61" customFormat="false" ht="19.4" hidden="false" customHeight="false" outlineLevel="0" collapsed="false">
      <c r="A61" s="9" t="n">
        <v>57</v>
      </c>
      <c r="B61" s="17" t="s">
        <v>5</v>
      </c>
      <c r="C61" s="11" t="s">
        <v>22</v>
      </c>
      <c r="D61" s="11" t="s">
        <v>240</v>
      </c>
      <c r="E61" s="11" t="s">
        <v>241</v>
      </c>
      <c r="F61" s="9" t="s">
        <v>47</v>
      </c>
      <c r="G61" s="19" t="s">
        <v>61</v>
      </c>
      <c r="H61" s="11" t="s">
        <v>71</v>
      </c>
      <c r="I61" s="11" t="s">
        <v>242</v>
      </c>
      <c r="J61" s="13" t="n">
        <v>0</v>
      </c>
      <c r="K61" s="13" t="n">
        <v>10000</v>
      </c>
      <c r="L61" s="9" t="s">
        <v>62</v>
      </c>
    </row>
    <row r="62" customFormat="false" ht="19.4" hidden="false" customHeight="false" outlineLevel="0" collapsed="false">
      <c r="A62" s="14" t="n">
        <v>58</v>
      </c>
      <c r="B62" s="17" t="s">
        <v>5</v>
      </c>
      <c r="C62" s="16" t="s">
        <v>22</v>
      </c>
      <c r="D62" s="16" t="s">
        <v>243</v>
      </c>
      <c r="E62" s="16" t="s">
        <v>244</v>
      </c>
      <c r="F62" s="14" t="s">
        <v>47</v>
      </c>
      <c r="G62" s="20" t="s">
        <v>145</v>
      </c>
      <c r="H62" s="16" t="s">
        <v>65</v>
      </c>
      <c r="I62" s="16" t="s">
        <v>245</v>
      </c>
      <c r="J62" s="13" t="n">
        <v>0</v>
      </c>
      <c r="K62" s="13" t="n">
        <v>0</v>
      </c>
      <c r="L62" s="14" t="s">
        <v>147</v>
      </c>
    </row>
    <row r="63" customFormat="false" ht="19.4" hidden="false" customHeight="false" outlineLevel="0" collapsed="false">
      <c r="A63" s="9" t="n">
        <v>59</v>
      </c>
      <c r="B63" s="18" t="s">
        <v>58</v>
      </c>
      <c r="C63" s="11" t="s">
        <v>22</v>
      </c>
      <c r="D63" s="11" t="s">
        <v>246</v>
      </c>
      <c r="E63" s="11" t="s">
        <v>247</v>
      </c>
      <c r="F63" s="9" t="s">
        <v>248</v>
      </c>
      <c r="G63" s="20" t="s">
        <v>145</v>
      </c>
      <c r="H63" s="11" t="s">
        <v>65</v>
      </c>
      <c r="I63" s="11" t="s">
        <v>249</v>
      </c>
      <c r="J63" s="13" t="n">
        <v>100000</v>
      </c>
      <c r="K63" s="13" t="n">
        <v>250000</v>
      </c>
      <c r="L63" s="9" t="s">
        <v>147</v>
      </c>
    </row>
    <row r="64" customFormat="false" ht="19.4" hidden="false" customHeight="false" outlineLevel="0" collapsed="false">
      <c r="A64" s="14" t="n">
        <v>60</v>
      </c>
      <c r="B64" s="10" t="s">
        <v>43</v>
      </c>
      <c r="C64" s="16" t="s">
        <v>22</v>
      </c>
      <c r="D64" s="16" t="s">
        <v>250</v>
      </c>
      <c r="E64" s="16" t="s">
        <v>251</v>
      </c>
      <c r="F64" s="14" t="s">
        <v>109</v>
      </c>
      <c r="G64" s="20" t="s">
        <v>145</v>
      </c>
      <c r="H64" s="16" t="s">
        <v>71</v>
      </c>
      <c r="I64" s="16" t="s">
        <v>252</v>
      </c>
      <c r="J64" s="13" t="n">
        <v>0</v>
      </c>
      <c r="K64" s="13" t="n">
        <v>40000</v>
      </c>
      <c r="L64" s="14" t="s">
        <v>147</v>
      </c>
    </row>
    <row r="65" customFormat="false" ht="15" hidden="false" customHeight="false" outlineLevel="0" collapsed="false">
      <c r="A65" s="9" t="n">
        <v>61</v>
      </c>
      <c r="B65" s="17" t="s">
        <v>5</v>
      </c>
      <c r="C65" s="11" t="s">
        <v>253</v>
      </c>
      <c r="D65" s="11" t="s">
        <v>254</v>
      </c>
      <c r="E65" s="11" t="s">
        <v>255</v>
      </c>
      <c r="F65" s="9" t="s">
        <v>70</v>
      </c>
      <c r="G65" s="12" t="s">
        <v>48</v>
      </c>
      <c r="H65" s="11" t="s">
        <v>65</v>
      </c>
      <c r="I65" s="11" t="s">
        <v>256</v>
      </c>
      <c r="J65" s="13" t="n">
        <v>10000</v>
      </c>
      <c r="K65" s="13" t="n">
        <v>3000</v>
      </c>
      <c r="L65" s="9" t="s">
        <v>51</v>
      </c>
    </row>
    <row r="66" customFormat="false" ht="15" hidden="false" customHeight="false" outlineLevel="0" collapsed="false">
      <c r="A66" s="14" t="n">
        <v>62</v>
      </c>
      <c r="B66" s="17" t="s">
        <v>5</v>
      </c>
      <c r="C66" s="16" t="s">
        <v>253</v>
      </c>
      <c r="D66" s="16" t="s">
        <v>257</v>
      </c>
      <c r="E66" s="16" t="s">
        <v>258</v>
      </c>
      <c r="F66" s="14" t="s">
        <v>47</v>
      </c>
      <c r="G66" s="12" t="s">
        <v>48</v>
      </c>
      <c r="H66" s="16" t="s">
        <v>71</v>
      </c>
      <c r="I66" s="16" t="s">
        <v>259</v>
      </c>
      <c r="J66" s="13" t="n">
        <v>50000</v>
      </c>
      <c r="K66" s="13" t="n">
        <v>0</v>
      </c>
      <c r="L66" s="14" t="s">
        <v>51</v>
      </c>
    </row>
    <row r="67" customFormat="false" ht="15" hidden="false" customHeight="false" outlineLevel="0" collapsed="false">
      <c r="A67" s="9" t="n">
        <v>63</v>
      </c>
      <c r="B67" s="10" t="s">
        <v>43</v>
      </c>
      <c r="C67" s="11" t="s">
        <v>253</v>
      </c>
      <c r="D67" s="11" t="s">
        <v>260</v>
      </c>
      <c r="E67" s="11" t="s">
        <v>261</v>
      </c>
      <c r="F67" s="9" t="s">
        <v>47</v>
      </c>
      <c r="G67" s="20" t="s">
        <v>145</v>
      </c>
      <c r="H67" s="11" t="s">
        <v>92</v>
      </c>
      <c r="I67" s="11" t="s">
        <v>262</v>
      </c>
      <c r="J67" s="13" t="n">
        <v>40000</v>
      </c>
      <c r="K67" s="13" t="n">
        <v>30000</v>
      </c>
      <c r="L67" s="9" t="s">
        <v>147</v>
      </c>
    </row>
    <row r="68" customFormat="false" ht="15" hidden="false" customHeight="false" outlineLevel="0" collapsed="false">
      <c r="A68" s="14" t="n">
        <v>64</v>
      </c>
      <c r="B68" s="10" t="s">
        <v>43</v>
      </c>
      <c r="C68" s="16" t="s">
        <v>263</v>
      </c>
      <c r="D68" s="16" t="s">
        <v>264</v>
      </c>
      <c r="E68" s="16" t="s">
        <v>265</v>
      </c>
      <c r="F68" s="14" t="s">
        <v>70</v>
      </c>
      <c r="G68" s="12" t="s">
        <v>48</v>
      </c>
      <c r="H68" s="16" t="s">
        <v>65</v>
      </c>
      <c r="I68" s="16" t="s">
        <v>266</v>
      </c>
      <c r="J68" s="13" t="n">
        <v>6000</v>
      </c>
      <c r="K68" s="13" t="n">
        <v>2500</v>
      </c>
      <c r="L68" s="14" t="s">
        <v>51</v>
      </c>
    </row>
    <row r="69" customFormat="false" ht="15" hidden="false" customHeight="false" outlineLevel="0" collapsed="false">
      <c r="A69" s="9" t="n">
        <v>65</v>
      </c>
      <c r="B69" s="10" t="s">
        <v>43</v>
      </c>
      <c r="C69" s="11" t="s">
        <v>263</v>
      </c>
      <c r="D69" s="11" t="s">
        <v>267</v>
      </c>
      <c r="E69" s="11" t="s">
        <v>268</v>
      </c>
      <c r="F69" s="9" t="s">
        <v>70</v>
      </c>
      <c r="G69" s="12" t="s">
        <v>48</v>
      </c>
      <c r="H69" s="11" t="s">
        <v>65</v>
      </c>
      <c r="I69" s="11" t="s">
        <v>269</v>
      </c>
      <c r="J69" s="13" t="n">
        <v>0</v>
      </c>
      <c r="K69" s="13" t="n">
        <v>0</v>
      </c>
      <c r="L69" s="9" t="s">
        <v>51</v>
      </c>
    </row>
    <row r="70" customFormat="false" ht="15" hidden="false" customHeight="false" outlineLevel="0" collapsed="false">
      <c r="A70" s="14" t="n">
        <v>66</v>
      </c>
      <c r="B70" s="10" t="s">
        <v>43</v>
      </c>
      <c r="C70" s="16" t="s">
        <v>263</v>
      </c>
      <c r="D70" s="16" t="s">
        <v>270</v>
      </c>
      <c r="E70" s="16" t="s">
        <v>271</v>
      </c>
      <c r="F70" s="14" t="s">
        <v>47</v>
      </c>
      <c r="G70" s="12" t="s">
        <v>48</v>
      </c>
      <c r="H70" s="16" t="s">
        <v>65</v>
      </c>
      <c r="I70" s="16" t="s">
        <v>272</v>
      </c>
      <c r="J70" s="13" t="n">
        <v>0</v>
      </c>
      <c r="K70" s="13" t="n">
        <v>15000</v>
      </c>
      <c r="L70" s="14" t="s">
        <v>51</v>
      </c>
    </row>
    <row r="71" customFormat="false" ht="15" hidden="false" customHeight="false" outlineLevel="0" collapsed="false">
      <c r="A71" s="9" t="n">
        <v>67</v>
      </c>
      <c r="B71" s="10" t="s">
        <v>43</v>
      </c>
      <c r="C71" s="11" t="s">
        <v>263</v>
      </c>
      <c r="D71" s="11" t="s">
        <v>273</v>
      </c>
      <c r="E71" s="11" t="s">
        <v>274</v>
      </c>
      <c r="F71" s="9" t="s">
        <v>47</v>
      </c>
      <c r="G71" s="12" t="s">
        <v>48</v>
      </c>
      <c r="H71" s="11" t="s">
        <v>65</v>
      </c>
      <c r="I71" s="11" t="s">
        <v>275</v>
      </c>
      <c r="J71" s="13" t="n">
        <v>40000</v>
      </c>
      <c r="K71" s="13" t="n">
        <v>0</v>
      </c>
      <c r="L71" s="9" t="s">
        <v>51</v>
      </c>
    </row>
    <row r="72" customFormat="false" ht="15" hidden="false" customHeight="false" outlineLevel="0" collapsed="false">
      <c r="A72" s="14" t="n">
        <v>68</v>
      </c>
      <c r="B72" s="10" t="s">
        <v>43</v>
      </c>
      <c r="C72" s="16" t="s">
        <v>263</v>
      </c>
      <c r="D72" s="16" t="s">
        <v>276</v>
      </c>
      <c r="E72" s="16" t="s">
        <v>277</v>
      </c>
      <c r="F72" s="14" t="s">
        <v>47</v>
      </c>
      <c r="G72" s="19" t="s">
        <v>61</v>
      </c>
      <c r="H72" s="16" t="s">
        <v>71</v>
      </c>
      <c r="I72" s="16" t="s">
        <v>278</v>
      </c>
      <c r="J72" s="13" t="n">
        <v>0</v>
      </c>
      <c r="K72" s="13" t="n">
        <v>2000</v>
      </c>
      <c r="L72" s="14" t="s">
        <v>62</v>
      </c>
    </row>
    <row r="73" customFormat="false" ht="15" hidden="false" customHeight="false" outlineLevel="0" collapsed="false">
      <c r="A73" s="9" t="n">
        <v>69</v>
      </c>
      <c r="B73" s="10" t="s">
        <v>43</v>
      </c>
      <c r="C73" s="11" t="s">
        <v>279</v>
      </c>
      <c r="D73" s="11" t="s">
        <v>280</v>
      </c>
      <c r="E73" s="11" t="s">
        <v>281</v>
      </c>
      <c r="F73" s="9" t="s">
        <v>47</v>
      </c>
      <c r="G73" s="12" t="s">
        <v>48</v>
      </c>
      <c r="H73" s="11" t="s">
        <v>65</v>
      </c>
      <c r="I73" s="11" t="s">
        <v>282</v>
      </c>
      <c r="J73" s="13" t="n">
        <v>0</v>
      </c>
      <c r="K73" s="13" t="n">
        <v>6000</v>
      </c>
      <c r="L73" s="9" t="s">
        <v>51</v>
      </c>
    </row>
    <row r="74" customFormat="false" ht="15" hidden="false" customHeight="false" outlineLevel="0" collapsed="false">
      <c r="A74" s="14" t="n">
        <v>70</v>
      </c>
      <c r="B74" s="10" t="s">
        <v>43</v>
      </c>
      <c r="C74" s="16" t="s">
        <v>279</v>
      </c>
      <c r="D74" s="16" t="s">
        <v>283</v>
      </c>
      <c r="E74" s="16" t="s">
        <v>284</v>
      </c>
      <c r="F74" s="14" t="s">
        <v>47</v>
      </c>
      <c r="G74" s="19" t="s">
        <v>61</v>
      </c>
      <c r="H74" s="16" t="s">
        <v>65</v>
      </c>
      <c r="I74" s="16" t="s">
        <v>285</v>
      </c>
      <c r="J74" s="13" t="n">
        <v>0</v>
      </c>
      <c r="K74" s="13" t="n">
        <v>6000</v>
      </c>
      <c r="L74" s="14" t="s">
        <v>62</v>
      </c>
    </row>
    <row r="75" customFormat="false" ht="15" hidden="false" customHeight="false" outlineLevel="0" collapsed="false">
      <c r="A75" s="9" t="n">
        <v>71</v>
      </c>
      <c r="B75" s="10" t="s">
        <v>43</v>
      </c>
      <c r="C75" s="11" t="s">
        <v>286</v>
      </c>
      <c r="D75" s="11" t="s">
        <v>287</v>
      </c>
      <c r="E75" s="11" t="s">
        <v>288</v>
      </c>
      <c r="F75" s="9" t="s">
        <v>47</v>
      </c>
      <c r="G75" s="19" t="s">
        <v>61</v>
      </c>
      <c r="H75" s="11" t="s">
        <v>92</v>
      </c>
      <c r="I75" s="11" t="s">
        <v>289</v>
      </c>
      <c r="J75" s="13" t="n">
        <v>0</v>
      </c>
      <c r="K75" s="13" t="n">
        <v>0</v>
      </c>
      <c r="L75" s="9" t="s">
        <v>62</v>
      </c>
    </row>
    <row r="76" customFormat="false" ht="15" hidden="false" customHeight="false" outlineLevel="0" collapsed="false">
      <c r="A76" s="14" t="n">
        <v>72</v>
      </c>
      <c r="B76" s="10" t="s">
        <v>43</v>
      </c>
      <c r="C76" s="16" t="s">
        <v>286</v>
      </c>
      <c r="D76" s="16" t="s">
        <v>290</v>
      </c>
      <c r="E76" s="16" t="s">
        <v>291</v>
      </c>
      <c r="F76" s="14" t="s">
        <v>70</v>
      </c>
      <c r="G76" s="19" t="s">
        <v>61</v>
      </c>
      <c r="H76" s="16" t="s">
        <v>65</v>
      </c>
      <c r="I76" s="16" t="s">
        <v>292</v>
      </c>
      <c r="J76" s="13" t="n">
        <v>0</v>
      </c>
      <c r="K76" s="13" t="n">
        <v>3000</v>
      </c>
      <c r="L76" s="14" t="s">
        <v>62</v>
      </c>
    </row>
    <row r="77" customFormat="false" ht="15" hidden="false" customHeight="false" outlineLevel="0" collapsed="false">
      <c r="A77" s="9" t="n">
        <v>73</v>
      </c>
      <c r="B77" s="10" t="s">
        <v>43</v>
      </c>
      <c r="C77" s="11" t="s">
        <v>286</v>
      </c>
      <c r="D77" s="11" t="s">
        <v>293</v>
      </c>
      <c r="E77" s="11" t="s">
        <v>294</v>
      </c>
      <c r="F77" s="9" t="s">
        <v>47</v>
      </c>
      <c r="G77" s="19" t="s">
        <v>61</v>
      </c>
      <c r="H77" s="11" t="s">
        <v>71</v>
      </c>
      <c r="I77" s="11" t="s">
        <v>295</v>
      </c>
      <c r="J77" s="13" t="n">
        <v>0</v>
      </c>
      <c r="K77" s="13" t="n">
        <v>1500</v>
      </c>
      <c r="L77" s="9" t="s">
        <v>62</v>
      </c>
    </row>
    <row r="78" customFormat="false" ht="15" hidden="false" customHeight="false" outlineLevel="0" collapsed="false">
      <c r="A78" s="14" t="n">
        <v>74</v>
      </c>
      <c r="B78" s="10" t="s">
        <v>43</v>
      </c>
      <c r="C78" s="16" t="s">
        <v>296</v>
      </c>
      <c r="D78" s="16" t="s">
        <v>297</v>
      </c>
      <c r="E78" s="16" t="s">
        <v>298</v>
      </c>
      <c r="F78" s="14" t="s">
        <v>70</v>
      </c>
      <c r="G78" s="12" t="s">
        <v>48</v>
      </c>
      <c r="H78" s="16" t="s">
        <v>71</v>
      </c>
      <c r="I78" s="16" t="s">
        <v>299</v>
      </c>
      <c r="J78" s="13" t="n">
        <v>0</v>
      </c>
      <c r="K78" s="13" t="n">
        <v>3000</v>
      </c>
      <c r="L78" s="14" t="s">
        <v>51</v>
      </c>
    </row>
    <row r="79" customFormat="false" ht="15" hidden="false" customHeight="false" outlineLevel="0" collapsed="false">
      <c r="A79" s="9" t="n">
        <v>75</v>
      </c>
      <c r="B79" s="10" t="s">
        <v>43</v>
      </c>
      <c r="C79" s="11" t="s">
        <v>296</v>
      </c>
      <c r="D79" s="11" t="s">
        <v>300</v>
      </c>
      <c r="E79" s="11" t="s">
        <v>301</v>
      </c>
      <c r="F79" s="9" t="s">
        <v>70</v>
      </c>
      <c r="G79" s="19" t="s">
        <v>61</v>
      </c>
      <c r="H79" s="11" t="s">
        <v>71</v>
      </c>
      <c r="I79" s="11" t="s">
        <v>302</v>
      </c>
      <c r="J79" s="13" t="n">
        <v>0</v>
      </c>
      <c r="K79" s="13" t="n">
        <v>1500</v>
      </c>
      <c r="L79" s="9" t="s">
        <v>62</v>
      </c>
    </row>
    <row r="80" customFormat="false" ht="15" hidden="false" customHeight="false" outlineLevel="0" collapsed="false">
      <c r="A80" s="14" t="n">
        <v>76</v>
      </c>
      <c r="B80" s="15" t="s">
        <v>52</v>
      </c>
      <c r="C80" s="16" t="s">
        <v>296</v>
      </c>
      <c r="D80" s="16" t="s">
        <v>303</v>
      </c>
      <c r="E80" s="16" t="s">
        <v>304</v>
      </c>
      <c r="F80" s="14" t="s">
        <v>70</v>
      </c>
      <c r="G80" s="19" t="s">
        <v>61</v>
      </c>
      <c r="H80" s="16" t="s">
        <v>65</v>
      </c>
      <c r="I80" s="16" t="s">
        <v>305</v>
      </c>
      <c r="J80" s="13" t="n">
        <v>0</v>
      </c>
      <c r="K80" s="13" t="n">
        <v>4000</v>
      </c>
      <c r="L80" s="14" t="s">
        <v>62</v>
      </c>
    </row>
    <row r="81" customFormat="false" ht="15" hidden="false" customHeight="false" outlineLevel="0" collapsed="false">
      <c r="A81" s="9" t="n">
        <v>77</v>
      </c>
      <c r="B81" s="10" t="s">
        <v>43</v>
      </c>
      <c r="C81" s="11" t="s">
        <v>306</v>
      </c>
      <c r="D81" s="11" t="s">
        <v>307</v>
      </c>
      <c r="E81" s="11" t="s">
        <v>308</v>
      </c>
      <c r="F81" s="9" t="s">
        <v>70</v>
      </c>
      <c r="G81" s="12" t="s">
        <v>48</v>
      </c>
      <c r="H81" s="11" t="s">
        <v>71</v>
      </c>
      <c r="I81" s="11" t="s">
        <v>309</v>
      </c>
      <c r="J81" s="13" t="n">
        <v>5000</v>
      </c>
      <c r="K81" s="13" t="n">
        <v>2000</v>
      </c>
      <c r="L81" s="9" t="s">
        <v>51</v>
      </c>
    </row>
    <row r="82" customFormat="false" ht="15" hidden="false" customHeight="false" outlineLevel="0" collapsed="false">
      <c r="A82" s="14" t="n">
        <v>78</v>
      </c>
      <c r="B82" s="17" t="s">
        <v>5</v>
      </c>
      <c r="C82" s="16" t="s">
        <v>306</v>
      </c>
      <c r="D82" s="16" t="s">
        <v>310</v>
      </c>
      <c r="E82" s="16" t="s">
        <v>311</v>
      </c>
      <c r="F82" s="14" t="s">
        <v>70</v>
      </c>
      <c r="G82" s="19" t="s">
        <v>61</v>
      </c>
      <c r="H82" s="16" t="s">
        <v>65</v>
      </c>
      <c r="I82" s="16" t="s">
        <v>312</v>
      </c>
      <c r="J82" s="13" t="n">
        <v>0</v>
      </c>
      <c r="K82" s="13" t="n">
        <v>7000</v>
      </c>
      <c r="L82" s="14" t="s">
        <v>62</v>
      </c>
    </row>
    <row r="83" customFormat="false" ht="15" hidden="false" customHeight="false" outlineLevel="0" collapsed="false">
      <c r="A83" s="9" t="n">
        <v>79</v>
      </c>
      <c r="B83" s="10" t="s">
        <v>43</v>
      </c>
      <c r="C83" s="11" t="s">
        <v>306</v>
      </c>
      <c r="D83" s="11" t="s">
        <v>313</v>
      </c>
      <c r="E83" s="11" t="s">
        <v>314</v>
      </c>
      <c r="F83" s="9" t="s">
        <v>47</v>
      </c>
      <c r="G83" s="19" t="s">
        <v>61</v>
      </c>
      <c r="H83" s="11" t="s">
        <v>71</v>
      </c>
      <c r="I83" s="11" t="s">
        <v>315</v>
      </c>
      <c r="J83" s="13" t="n">
        <v>0</v>
      </c>
      <c r="K83" s="13" t="n">
        <v>2000</v>
      </c>
      <c r="L83" s="9" t="s">
        <v>62</v>
      </c>
    </row>
    <row r="84" customFormat="false" ht="15" hidden="false" customHeight="false" outlineLevel="0" collapsed="false">
      <c r="I84" s="21" t="s">
        <v>316</v>
      </c>
      <c r="J84" s="22" t="n">
        <f aca="false">SUM(J5:J83)</f>
        <v>835000</v>
      </c>
      <c r="K84" s="22" t="n">
        <f aca="false">SUM(K5:K83)</f>
        <v>1120000</v>
      </c>
    </row>
  </sheetData>
  <autoFilter ref="A4:L83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28"/>
    <col collapsed="false" customWidth="true" hidden="false" outlineLevel="0" max="7" min="7" style="0" width="30"/>
  </cols>
  <sheetData>
    <row r="1" customFormat="false" ht="27.75" hidden="false" customHeight="true" outlineLevel="0" collapsed="false">
      <c r="A1" s="6" t="s">
        <v>317</v>
      </c>
      <c r="B1" s="6"/>
      <c r="C1" s="6"/>
      <c r="D1" s="6"/>
      <c r="E1" s="6"/>
      <c r="F1" s="6"/>
      <c r="G1" s="6"/>
    </row>
    <row r="2" customFormat="false" ht="15.75" hidden="false" customHeight="true" outlineLevel="0" collapsed="false">
      <c r="A2" s="7" t="s">
        <v>318</v>
      </c>
      <c r="B2" s="7"/>
      <c r="C2" s="7"/>
      <c r="D2" s="7"/>
      <c r="E2" s="7"/>
      <c r="F2" s="7"/>
      <c r="G2" s="7"/>
    </row>
    <row r="4" customFormat="false" ht="15" hidden="false" customHeight="false" outlineLevel="0" collapsed="false">
      <c r="A4" s="23" t="s">
        <v>33</v>
      </c>
      <c r="B4" s="23" t="s">
        <v>176</v>
      </c>
      <c r="C4" s="23" t="s">
        <v>34</v>
      </c>
      <c r="D4" s="23" t="s">
        <v>319</v>
      </c>
      <c r="E4" s="23" t="s">
        <v>320</v>
      </c>
      <c r="F4" s="23" t="s">
        <v>321</v>
      </c>
      <c r="G4" s="23" t="s">
        <v>322</v>
      </c>
    </row>
    <row r="5" customFormat="false" ht="19.4" hidden="false" customHeight="false" outlineLevel="0" collapsed="false">
      <c r="A5" s="9" t="n">
        <v>1</v>
      </c>
      <c r="B5" s="11" t="s">
        <v>323</v>
      </c>
      <c r="C5" s="11" t="s">
        <v>324</v>
      </c>
      <c r="D5" s="11" t="s">
        <v>325</v>
      </c>
      <c r="E5" s="11" t="s">
        <v>326</v>
      </c>
      <c r="F5" s="11" t="s">
        <v>327</v>
      </c>
      <c r="G5" s="11" t="s">
        <v>328</v>
      </c>
    </row>
    <row r="6" customFormat="false" ht="19.4" hidden="false" customHeight="false" outlineLevel="0" collapsed="false">
      <c r="A6" s="14" t="n">
        <v>2</v>
      </c>
      <c r="B6" s="16" t="s">
        <v>329</v>
      </c>
      <c r="C6" s="16" t="s">
        <v>330</v>
      </c>
      <c r="D6" s="16" t="s">
        <v>331</v>
      </c>
      <c r="E6" s="16" t="s">
        <v>332</v>
      </c>
      <c r="F6" s="16" t="s">
        <v>333</v>
      </c>
      <c r="G6" s="16" t="s">
        <v>334</v>
      </c>
    </row>
    <row r="7" customFormat="false" ht="15" hidden="false" customHeight="false" outlineLevel="0" collapsed="false">
      <c r="A7" s="9" t="n">
        <v>3</v>
      </c>
      <c r="B7" s="11" t="s">
        <v>335</v>
      </c>
      <c r="C7" s="11" t="s">
        <v>330</v>
      </c>
      <c r="D7" s="11" t="s">
        <v>336</v>
      </c>
      <c r="E7" s="11" t="s">
        <v>337</v>
      </c>
      <c r="F7" s="11" t="s">
        <v>338</v>
      </c>
      <c r="G7" s="11" t="s">
        <v>339</v>
      </c>
    </row>
    <row r="8" customFormat="false" ht="15" hidden="false" customHeight="false" outlineLevel="0" collapsed="false">
      <c r="A8" s="14" t="n">
        <v>4</v>
      </c>
      <c r="B8" s="16" t="s">
        <v>340</v>
      </c>
      <c r="C8" s="16" t="s">
        <v>324</v>
      </c>
      <c r="D8" s="16" t="s">
        <v>341</v>
      </c>
      <c r="E8" s="16" t="s">
        <v>342</v>
      </c>
      <c r="F8" s="16" t="s">
        <v>343</v>
      </c>
      <c r="G8" s="16" t="s">
        <v>344</v>
      </c>
    </row>
    <row r="9" customFormat="false" ht="15" hidden="false" customHeight="false" outlineLevel="0" collapsed="false">
      <c r="A9" s="9" t="n">
        <v>5</v>
      </c>
      <c r="B9" s="11" t="s">
        <v>345</v>
      </c>
      <c r="C9" s="11" t="s">
        <v>43</v>
      </c>
      <c r="D9" s="11" t="s">
        <v>346</v>
      </c>
      <c r="E9" s="11" t="s">
        <v>347</v>
      </c>
      <c r="F9" s="11" t="s">
        <v>348</v>
      </c>
      <c r="G9" s="11" t="s">
        <v>349</v>
      </c>
    </row>
    <row r="10" customFormat="false" ht="15" hidden="false" customHeight="false" outlineLevel="0" collapsed="false">
      <c r="A10" s="14" t="n">
        <v>6</v>
      </c>
      <c r="B10" s="16" t="s">
        <v>350</v>
      </c>
      <c r="C10" s="16" t="s">
        <v>330</v>
      </c>
      <c r="D10" s="16" t="s">
        <v>351</v>
      </c>
      <c r="E10" s="16" t="s">
        <v>352</v>
      </c>
      <c r="F10" s="16" t="s">
        <v>353</v>
      </c>
      <c r="G10" s="16" t="s">
        <v>354</v>
      </c>
    </row>
    <row r="11" customFormat="false" ht="15" hidden="false" customHeight="false" outlineLevel="0" collapsed="false">
      <c r="A11" s="9" t="n">
        <v>7</v>
      </c>
      <c r="B11" s="11" t="s">
        <v>355</v>
      </c>
      <c r="C11" s="11" t="s">
        <v>356</v>
      </c>
      <c r="D11" s="11" t="s">
        <v>357</v>
      </c>
      <c r="E11" s="11" t="s">
        <v>358</v>
      </c>
      <c r="F11" s="11" t="s">
        <v>359</v>
      </c>
      <c r="G11" s="11" t="s">
        <v>360</v>
      </c>
    </row>
    <row r="12" customFormat="false" ht="15" hidden="false" customHeight="false" outlineLevel="0" collapsed="false">
      <c r="A12" s="14" t="n">
        <v>8</v>
      </c>
      <c r="B12" s="16" t="s">
        <v>361</v>
      </c>
      <c r="C12" s="16" t="s">
        <v>43</v>
      </c>
      <c r="D12" s="16" t="s">
        <v>362</v>
      </c>
      <c r="E12" s="16" t="s">
        <v>363</v>
      </c>
      <c r="F12" s="16" t="s">
        <v>364</v>
      </c>
      <c r="G12" s="16" t="s">
        <v>365</v>
      </c>
    </row>
    <row r="13" customFormat="false" ht="15" hidden="false" customHeight="false" outlineLevel="0" collapsed="false">
      <c r="A13" s="9" t="n">
        <v>9</v>
      </c>
      <c r="B13" s="11" t="s">
        <v>366</v>
      </c>
      <c r="C13" s="11" t="s">
        <v>324</v>
      </c>
      <c r="D13" s="11" t="s">
        <v>367</v>
      </c>
      <c r="E13" s="11" t="s">
        <v>368</v>
      </c>
      <c r="F13" s="11" t="s">
        <v>369</v>
      </c>
      <c r="G13" s="11" t="s">
        <v>370</v>
      </c>
    </row>
    <row r="14" customFormat="false" ht="15" hidden="false" customHeight="false" outlineLevel="0" collapsed="false">
      <c r="A14" s="14" t="n">
        <v>10</v>
      </c>
      <c r="B14" s="16" t="s">
        <v>371</v>
      </c>
      <c r="C14" s="16" t="s">
        <v>330</v>
      </c>
      <c r="D14" s="16" t="s">
        <v>372</v>
      </c>
      <c r="E14" s="16" t="s">
        <v>373</v>
      </c>
      <c r="F14" s="16" t="s">
        <v>374</v>
      </c>
      <c r="G14" s="16" t="s">
        <v>375</v>
      </c>
    </row>
    <row r="15" customFormat="false" ht="15" hidden="false" customHeight="false" outlineLevel="0" collapsed="false">
      <c r="A15" s="9" t="n">
        <v>11</v>
      </c>
      <c r="B15" s="11" t="s">
        <v>376</v>
      </c>
      <c r="C15" s="11" t="s">
        <v>5</v>
      </c>
      <c r="D15" s="11" t="s">
        <v>377</v>
      </c>
      <c r="E15" s="11" t="s">
        <v>378</v>
      </c>
      <c r="F15" s="11" t="s">
        <v>379</v>
      </c>
      <c r="G15" s="11" t="s">
        <v>380</v>
      </c>
    </row>
    <row r="16" customFormat="false" ht="15" hidden="false" customHeight="false" outlineLevel="0" collapsed="false">
      <c r="A16" s="14" t="n">
        <v>12</v>
      </c>
      <c r="B16" s="16" t="s">
        <v>381</v>
      </c>
      <c r="C16" s="16" t="s">
        <v>5</v>
      </c>
      <c r="D16" s="16" t="s">
        <v>382</v>
      </c>
      <c r="E16" s="16" t="s">
        <v>383</v>
      </c>
      <c r="F16" s="16" t="s">
        <v>384</v>
      </c>
      <c r="G16" s="16" t="s">
        <v>385</v>
      </c>
    </row>
    <row r="17" customFormat="false" ht="15" hidden="false" customHeight="false" outlineLevel="0" collapsed="false">
      <c r="A17" s="9" t="n">
        <v>13</v>
      </c>
      <c r="B17" s="11" t="s">
        <v>386</v>
      </c>
      <c r="C17" s="11" t="s">
        <v>387</v>
      </c>
      <c r="D17" s="11" t="s">
        <v>388</v>
      </c>
      <c r="E17" s="11" t="s">
        <v>389</v>
      </c>
      <c r="F17" s="11" t="s">
        <v>390</v>
      </c>
      <c r="G17" s="11" t="s">
        <v>391</v>
      </c>
    </row>
    <row r="18" customFormat="false" ht="15" hidden="false" customHeight="false" outlineLevel="0" collapsed="false">
      <c r="A18" s="14" t="n">
        <v>14</v>
      </c>
      <c r="B18" s="16" t="s">
        <v>392</v>
      </c>
      <c r="C18" s="16" t="s">
        <v>52</v>
      </c>
      <c r="D18" s="16" t="s">
        <v>393</v>
      </c>
      <c r="E18" s="16" t="s">
        <v>394</v>
      </c>
      <c r="F18" s="16" t="s">
        <v>395</v>
      </c>
      <c r="G18" s="16" t="s">
        <v>396</v>
      </c>
    </row>
    <row r="19" customFormat="false" ht="15" hidden="false" customHeight="false" outlineLevel="0" collapsed="false">
      <c r="A19" s="9" t="n">
        <v>15</v>
      </c>
      <c r="B19" s="11" t="s">
        <v>397</v>
      </c>
      <c r="C19" s="11" t="s">
        <v>58</v>
      </c>
      <c r="D19" s="11" t="s">
        <v>398</v>
      </c>
      <c r="E19" s="11" t="s">
        <v>399</v>
      </c>
      <c r="F19" s="11" t="s">
        <v>400</v>
      </c>
      <c r="G19" s="11" t="s">
        <v>401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20"/>
    <col collapsed="false" customWidth="true" hidden="false" outlineLevel="0" max="6" min="6" style="0" width="38"/>
  </cols>
  <sheetData>
    <row r="1" customFormat="false" ht="27.75" hidden="false" customHeight="true" outlineLevel="0" collapsed="false">
      <c r="A1" s="6" t="s">
        <v>402</v>
      </c>
      <c r="B1" s="6"/>
      <c r="C1" s="6"/>
      <c r="D1" s="6"/>
      <c r="E1" s="6"/>
      <c r="F1" s="6"/>
    </row>
    <row r="2" customFormat="false" ht="15.75" hidden="false" customHeight="true" outlineLevel="0" collapsed="false">
      <c r="A2" s="7" t="s">
        <v>403</v>
      </c>
      <c r="B2" s="7"/>
      <c r="C2" s="7"/>
      <c r="D2" s="7"/>
      <c r="E2" s="7"/>
      <c r="F2" s="7"/>
    </row>
    <row r="4" customFormat="false" ht="15" hidden="false" customHeight="false" outlineLevel="0" collapsed="false">
      <c r="A4" s="23" t="s">
        <v>42</v>
      </c>
      <c r="B4" s="23" t="s">
        <v>34</v>
      </c>
      <c r="C4" s="23" t="s">
        <v>404</v>
      </c>
      <c r="D4" s="23" t="s">
        <v>405</v>
      </c>
      <c r="E4" s="23" t="s">
        <v>406</v>
      </c>
      <c r="F4" s="23" t="s">
        <v>407</v>
      </c>
    </row>
    <row r="5" customFormat="false" ht="19.4" hidden="false" customHeight="false" outlineLevel="0" collapsed="false">
      <c r="A5" s="24" t="s">
        <v>408</v>
      </c>
      <c r="B5" s="11" t="s">
        <v>43</v>
      </c>
      <c r="C5" s="11" t="s">
        <v>409</v>
      </c>
      <c r="D5" s="11" t="s">
        <v>410</v>
      </c>
      <c r="E5" s="11" t="s">
        <v>411</v>
      </c>
      <c r="F5" s="11" t="s">
        <v>412</v>
      </c>
    </row>
    <row r="6" customFormat="false" ht="19.4" hidden="false" customHeight="false" outlineLevel="0" collapsed="false">
      <c r="A6" s="24" t="s">
        <v>413</v>
      </c>
      <c r="B6" s="11" t="s">
        <v>43</v>
      </c>
      <c r="C6" s="11" t="s">
        <v>414</v>
      </c>
      <c r="D6" s="11" t="s">
        <v>415</v>
      </c>
      <c r="E6" s="11" t="s">
        <v>416</v>
      </c>
      <c r="F6" s="11" t="s">
        <v>417</v>
      </c>
    </row>
    <row r="7" customFormat="false" ht="19.4" hidden="false" customHeight="false" outlineLevel="0" collapsed="false">
      <c r="A7" s="24" t="s">
        <v>413</v>
      </c>
      <c r="B7" s="11" t="s">
        <v>5</v>
      </c>
      <c r="C7" s="11" t="s">
        <v>418</v>
      </c>
      <c r="D7" s="11" t="s">
        <v>419</v>
      </c>
      <c r="E7" s="11" t="s">
        <v>420</v>
      </c>
      <c r="F7" s="11" t="s">
        <v>421</v>
      </c>
    </row>
    <row r="8" customFormat="false" ht="19.4" hidden="false" customHeight="false" outlineLevel="0" collapsed="false">
      <c r="A8" s="24" t="s">
        <v>413</v>
      </c>
      <c r="B8" s="11" t="s">
        <v>43</v>
      </c>
      <c r="C8" s="11" t="s">
        <v>422</v>
      </c>
      <c r="D8" s="11" t="s">
        <v>423</v>
      </c>
      <c r="E8" s="11" t="s">
        <v>424</v>
      </c>
      <c r="F8" s="11" t="s">
        <v>425</v>
      </c>
    </row>
    <row r="9" customFormat="false" ht="19.4" hidden="false" customHeight="false" outlineLevel="0" collapsed="false">
      <c r="A9" s="24" t="s">
        <v>413</v>
      </c>
      <c r="B9" s="11" t="s">
        <v>43</v>
      </c>
      <c r="C9" s="11" t="s">
        <v>426</v>
      </c>
      <c r="D9" s="11" t="s">
        <v>427</v>
      </c>
      <c r="E9" s="11" t="s">
        <v>58</v>
      </c>
      <c r="F9" s="11" t="s">
        <v>428</v>
      </c>
    </row>
    <row r="10" customFormat="false" ht="15" hidden="false" customHeight="false" outlineLevel="0" collapsed="false">
      <c r="A10" s="24" t="s">
        <v>413</v>
      </c>
      <c r="B10" s="11" t="s">
        <v>5</v>
      </c>
      <c r="C10" s="11" t="s">
        <v>429</v>
      </c>
      <c r="D10" s="11" t="s">
        <v>430</v>
      </c>
      <c r="E10" s="11" t="s">
        <v>416</v>
      </c>
      <c r="F10" s="11" t="s">
        <v>431</v>
      </c>
    </row>
    <row r="11" customFormat="false" ht="19.4" hidden="false" customHeight="false" outlineLevel="0" collapsed="false">
      <c r="A11" s="25" t="s">
        <v>432</v>
      </c>
      <c r="B11" s="11" t="s">
        <v>5</v>
      </c>
      <c r="C11" s="11" t="s">
        <v>433</v>
      </c>
      <c r="D11" s="11" t="s">
        <v>434</v>
      </c>
      <c r="E11" s="11" t="s">
        <v>416</v>
      </c>
      <c r="F11" s="11" t="s">
        <v>435</v>
      </c>
    </row>
    <row r="12" customFormat="false" ht="19.4" hidden="false" customHeight="false" outlineLevel="0" collapsed="false">
      <c r="A12" s="25" t="s">
        <v>436</v>
      </c>
      <c r="B12" s="11" t="s">
        <v>43</v>
      </c>
      <c r="C12" s="11" t="s">
        <v>437</v>
      </c>
      <c r="D12" s="11" t="s">
        <v>438</v>
      </c>
      <c r="E12" s="11" t="s">
        <v>416</v>
      </c>
      <c r="F12" s="11" t="s">
        <v>439</v>
      </c>
    </row>
    <row r="13" customFormat="false" ht="15" hidden="false" customHeight="false" outlineLevel="0" collapsed="false">
      <c r="A13" s="25" t="s">
        <v>436</v>
      </c>
      <c r="B13" s="11" t="s">
        <v>5</v>
      </c>
      <c r="C13" s="11" t="s">
        <v>440</v>
      </c>
      <c r="D13" s="11" t="s">
        <v>441</v>
      </c>
      <c r="E13" s="11" t="s">
        <v>416</v>
      </c>
      <c r="F13" s="11" t="s">
        <v>442</v>
      </c>
    </row>
    <row r="14" customFormat="false" ht="15" hidden="false" customHeight="false" outlineLevel="0" collapsed="false">
      <c r="A14" s="25" t="s">
        <v>436</v>
      </c>
      <c r="B14" s="11" t="s">
        <v>58</v>
      </c>
      <c r="C14" s="11" t="s">
        <v>443</v>
      </c>
      <c r="D14" s="11" t="s">
        <v>444</v>
      </c>
      <c r="E14" s="11" t="s">
        <v>445</v>
      </c>
      <c r="F14" s="11" t="s">
        <v>446</v>
      </c>
    </row>
    <row r="15" customFormat="false" ht="19.4" hidden="false" customHeight="false" outlineLevel="0" collapsed="false">
      <c r="A15" s="25" t="s">
        <v>436</v>
      </c>
      <c r="B15" s="11" t="s">
        <v>52</v>
      </c>
      <c r="C15" s="11" t="s">
        <v>447</v>
      </c>
      <c r="D15" s="11" t="s">
        <v>448</v>
      </c>
      <c r="E15" s="11" t="s">
        <v>449</v>
      </c>
      <c r="F15" s="11" t="s">
        <v>450</v>
      </c>
    </row>
    <row r="16" customFormat="false" ht="15" hidden="false" customHeight="false" outlineLevel="0" collapsed="false">
      <c r="A16" s="25" t="s">
        <v>436</v>
      </c>
      <c r="B16" s="11" t="s">
        <v>43</v>
      </c>
      <c r="C16" s="11" t="s">
        <v>451</v>
      </c>
      <c r="D16" s="11" t="s">
        <v>452</v>
      </c>
      <c r="E16" s="11" t="s">
        <v>416</v>
      </c>
      <c r="F16" s="11" t="s">
        <v>453</v>
      </c>
    </row>
    <row r="17" customFormat="false" ht="15" hidden="false" customHeight="false" outlineLevel="0" collapsed="false">
      <c r="A17" s="26" t="s">
        <v>454</v>
      </c>
      <c r="B17" s="11" t="s">
        <v>5</v>
      </c>
      <c r="C17" s="11" t="s">
        <v>455</v>
      </c>
      <c r="D17" s="11" t="s">
        <v>456</v>
      </c>
      <c r="E17" s="11" t="s">
        <v>457</v>
      </c>
      <c r="F17" s="11" t="s">
        <v>458</v>
      </c>
    </row>
    <row r="18" customFormat="false" ht="15" hidden="false" customHeight="false" outlineLevel="0" collapsed="false">
      <c r="A18" s="26" t="s">
        <v>459</v>
      </c>
      <c r="B18" s="11" t="s">
        <v>58</v>
      </c>
      <c r="C18" s="11" t="s">
        <v>460</v>
      </c>
      <c r="D18" s="11" t="s">
        <v>461</v>
      </c>
      <c r="E18" s="11" t="s">
        <v>445</v>
      </c>
      <c r="F18" s="11" t="s">
        <v>462</v>
      </c>
    </row>
    <row r="19" customFormat="false" ht="15" hidden="false" customHeight="false" outlineLevel="0" collapsed="false">
      <c r="A19" s="26" t="s">
        <v>459</v>
      </c>
      <c r="B19" s="11" t="s">
        <v>43</v>
      </c>
      <c r="C19" s="11" t="s">
        <v>463</v>
      </c>
      <c r="D19" s="11" t="s">
        <v>464</v>
      </c>
      <c r="E19" s="11" t="s">
        <v>262</v>
      </c>
      <c r="F19" s="11" t="s">
        <v>465</v>
      </c>
    </row>
    <row r="20" customFormat="false" ht="15" hidden="false" customHeight="false" outlineLevel="0" collapsed="false">
      <c r="A20" s="26" t="s">
        <v>459</v>
      </c>
      <c r="B20" s="11" t="s">
        <v>43</v>
      </c>
      <c r="C20" s="11" t="s">
        <v>466</v>
      </c>
      <c r="D20" s="11" t="s">
        <v>467</v>
      </c>
      <c r="E20" s="11" t="s">
        <v>445</v>
      </c>
      <c r="F20" s="11" t="s">
        <v>468</v>
      </c>
    </row>
    <row r="21" customFormat="false" ht="19.4" hidden="false" customHeight="false" outlineLevel="0" collapsed="false">
      <c r="A21" s="26" t="s">
        <v>459</v>
      </c>
      <c r="B21" s="11" t="s">
        <v>43</v>
      </c>
      <c r="C21" s="11" t="s">
        <v>469</v>
      </c>
      <c r="D21" s="11" t="s">
        <v>470</v>
      </c>
      <c r="E21" s="11" t="s">
        <v>471</v>
      </c>
      <c r="F21" s="11" t="s">
        <v>472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38"/>
  </cols>
  <sheetData>
    <row r="1" customFormat="false" ht="27.75" hidden="false" customHeight="true" outlineLevel="0" collapsed="false">
      <c r="A1" s="6" t="s">
        <v>473</v>
      </c>
      <c r="B1" s="6"/>
      <c r="C1" s="6"/>
      <c r="D1" s="6"/>
      <c r="E1" s="6"/>
      <c r="F1" s="6"/>
      <c r="G1" s="6"/>
    </row>
    <row r="2" customFormat="false" ht="15.75" hidden="false" customHeight="true" outlineLevel="0" collapsed="false">
      <c r="A2" s="7" t="s">
        <v>474</v>
      </c>
      <c r="B2" s="7"/>
      <c r="C2" s="7"/>
      <c r="D2" s="7"/>
      <c r="E2" s="7"/>
      <c r="F2" s="7"/>
      <c r="G2" s="7"/>
    </row>
    <row r="4" customFormat="false" ht="15" hidden="false" customHeight="false" outlineLevel="0" collapsed="false">
      <c r="A4" s="23" t="s">
        <v>475</v>
      </c>
      <c r="B4" s="23" t="s">
        <v>476</v>
      </c>
      <c r="C4" s="23" t="s">
        <v>477</v>
      </c>
      <c r="D4" s="23" t="s">
        <v>478</v>
      </c>
      <c r="E4" s="23" t="s">
        <v>479</v>
      </c>
      <c r="F4" s="23" t="s">
        <v>25</v>
      </c>
      <c r="G4" s="23" t="s">
        <v>480</v>
      </c>
    </row>
    <row r="5" customFormat="false" ht="19.4" hidden="false" customHeight="false" outlineLevel="0" collapsed="false">
      <c r="A5" s="11" t="s">
        <v>481</v>
      </c>
      <c r="B5" s="11" t="s">
        <v>482</v>
      </c>
      <c r="C5" s="11" t="s">
        <v>483</v>
      </c>
      <c r="D5" s="11" t="s">
        <v>484</v>
      </c>
      <c r="E5" s="11" t="s">
        <v>485</v>
      </c>
      <c r="F5" s="19" t="s">
        <v>61</v>
      </c>
      <c r="G5" s="11" t="s">
        <v>486</v>
      </c>
    </row>
    <row r="6" customFormat="false" ht="15" hidden="false" customHeight="false" outlineLevel="0" collapsed="false">
      <c r="A6" s="16" t="s">
        <v>487</v>
      </c>
      <c r="B6" s="16" t="s">
        <v>488</v>
      </c>
      <c r="C6" s="16" t="s">
        <v>489</v>
      </c>
      <c r="D6" s="16" t="s">
        <v>490</v>
      </c>
      <c r="E6" s="16" t="s">
        <v>491</v>
      </c>
      <c r="F6" s="19" t="s">
        <v>61</v>
      </c>
      <c r="G6" s="16" t="s">
        <v>492</v>
      </c>
    </row>
    <row r="7" customFormat="false" ht="19.4" hidden="false" customHeight="false" outlineLevel="0" collapsed="false">
      <c r="A7" s="11" t="s">
        <v>493</v>
      </c>
      <c r="B7" s="11" t="s">
        <v>494</v>
      </c>
      <c r="C7" s="11" t="s">
        <v>495</v>
      </c>
      <c r="D7" s="11" t="s">
        <v>496</v>
      </c>
      <c r="E7" s="11" t="s">
        <v>497</v>
      </c>
      <c r="F7" s="20" t="s">
        <v>145</v>
      </c>
      <c r="G7" s="11" t="s">
        <v>498</v>
      </c>
    </row>
    <row r="8" customFormat="false" ht="15" hidden="false" customHeight="false" outlineLevel="0" collapsed="false">
      <c r="A8" s="16" t="s">
        <v>499</v>
      </c>
      <c r="B8" s="16" t="s">
        <v>500</v>
      </c>
      <c r="C8" s="16" t="s">
        <v>501</v>
      </c>
      <c r="D8" s="16" t="s">
        <v>502</v>
      </c>
      <c r="E8" s="16" t="s">
        <v>503</v>
      </c>
      <c r="F8" s="20" t="s">
        <v>145</v>
      </c>
      <c r="G8" s="16" t="s">
        <v>504</v>
      </c>
    </row>
    <row r="9" customFormat="false" ht="19.4" hidden="false" customHeight="false" outlineLevel="0" collapsed="false">
      <c r="A9" s="11" t="s">
        <v>505</v>
      </c>
      <c r="B9" s="11" t="s">
        <v>506</v>
      </c>
      <c r="C9" s="11" t="s">
        <v>507</v>
      </c>
      <c r="D9" s="11" t="s">
        <v>508</v>
      </c>
      <c r="E9" s="11" t="s">
        <v>509</v>
      </c>
      <c r="F9" s="27" t="s">
        <v>510</v>
      </c>
      <c r="G9" s="11" t="s">
        <v>511</v>
      </c>
    </row>
    <row r="10" customFormat="false" ht="19.4" hidden="false" customHeight="false" outlineLevel="0" collapsed="false">
      <c r="A10" s="16" t="s">
        <v>512</v>
      </c>
      <c r="B10" s="16" t="s">
        <v>513</v>
      </c>
      <c r="C10" s="16" t="s">
        <v>514</v>
      </c>
      <c r="D10" s="16" t="s">
        <v>515</v>
      </c>
      <c r="E10" s="16" t="s">
        <v>516</v>
      </c>
      <c r="F10" s="27" t="s">
        <v>510</v>
      </c>
      <c r="G10" s="16" t="s">
        <v>517</v>
      </c>
    </row>
    <row r="11" customFormat="false" ht="15" hidden="false" customHeight="false" outlineLevel="0" collapsed="false">
      <c r="A11" s="11" t="s">
        <v>518</v>
      </c>
      <c r="B11" s="11" t="s">
        <v>519</v>
      </c>
      <c r="C11" s="11" t="s">
        <v>520</v>
      </c>
      <c r="D11" s="11" t="s">
        <v>521</v>
      </c>
      <c r="E11" s="11" t="s">
        <v>503</v>
      </c>
      <c r="F11" s="27" t="s">
        <v>510</v>
      </c>
      <c r="G11" s="11" t="s">
        <v>522</v>
      </c>
    </row>
    <row r="12" customFormat="false" ht="15" hidden="false" customHeight="false" outlineLevel="0" collapsed="false">
      <c r="A12" s="16" t="s">
        <v>523</v>
      </c>
      <c r="B12" s="16" t="s">
        <v>524</v>
      </c>
      <c r="C12" s="16" t="s">
        <v>525</v>
      </c>
      <c r="D12" s="16" t="s">
        <v>526</v>
      </c>
      <c r="E12" s="16" t="s">
        <v>503</v>
      </c>
      <c r="F12" s="20" t="s">
        <v>145</v>
      </c>
      <c r="G12" s="16" t="s">
        <v>527</v>
      </c>
    </row>
    <row r="13" customFormat="false" ht="19.4" hidden="false" customHeight="false" outlineLevel="0" collapsed="false">
      <c r="A13" s="11" t="s">
        <v>528</v>
      </c>
      <c r="B13" s="11" t="s">
        <v>529</v>
      </c>
      <c r="C13" s="11" t="s">
        <v>530</v>
      </c>
      <c r="D13" s="11" t="s">
        <v>531</v>
      </c>
      <c r="E13" s="11" t="s">
        <v>532</v>
      </c>
      <c r="F13" s="12" t="s">
        <v>48</v>
      </c>
      <c r="G13" s="11" t="s">
        <v>533</v>
      </c>
    </row>
    <row r="14" customFormat="false" ht="19.4" hidden="false" customHeight="false" outlineLevel="0" collapsed="false">
      <c r="A14" s="16" t="s">
        <v>534</v>
      </c>
      <c r="B14" s="16" t="s">
        <v>535</v>
      </c>
      <c r="C14" s="16" t="s">
        <v>536</v>
      </c>
      <c r="D14" s="16" t="s">
        <v>537</v>
      </c>
      <c r="E14" s="16" t="s">
        <v>491</v>
      </c>
      <c r="F14" s="19" t="s">
        <v>61</v>
      </c>
      <c r="G14" s="16" t="s">
        <v>538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6" t="s">
        <v>539</v>
      </c>
      <c r="B1" s="6"/>
      <c r="C1" s="6"/>
      <c r="D1" s="6"/>
    </row>
    <row r="2" customFormat="false" ht="15.75" hidden="false" customHeight="true" outlineLevel="0" collapsed="false">
      <c r="A2" s="7" t="s">
        <v>540</v>
      </c>
      <c r="B2" s="7"/>
      <c r="C2" s="7"/>
      <c r="D2" s="7"/>
    </row>
    <row r="4" customFormat="false" ht="15" hidden="false" customHeight="false" outlineLevel="0" collapsed="false">
      <c r="A4" s="23" t="s">
        <v>35</v>
      </c>
      <c r="B4" s="23" t="s">
        <v>541</v>
      </c>
      <c r="C4" s="23" t="s">
        <v>41</v>
      </c>
      <c r="D4" s="23" t="s">
        <v>542</v>
      </c>
    </row>
    <row r="5" customFormat="false" ht="15" hidden="false" customHeight="false" outlineLevel="0" collapsed="false">
      <c r="A5" s="28" t="s">
        <v>44</v>
      </c>
      <c r="B5" s="29" t="n">
        <f aca="false">SUMIF('Master Stack'!C:C,A5,'Master Stack'!J:J)</f>
        <v>195000</v>
      </c>
      <c r="C5" s="29" t="n">
        <f aca="false">SUMIF('Master Stack'!C:C,A5,'Master Stack'!K:K)</f>
        <v>0</v>
      </c>
      <c r="D5" s="29" t="n">
        <f aca="false">B5+C5*3</f>
        <v>195000</v>
      </c>
    </row>
    <row r="6" customFormat="false" ht="15" hidden="false" customHeight="false" outlineLevel="0" collapsed="false">
      <c r="A6" s="30" t="s">
        <v>67</v>
      </c>
      <c r="B6" s="31" t="n">
        <f aca="false">SUMIF('Master Stack'!C:C,A6,'Master Stack'!J:J)</f>
        <v>100000</v>
      </c>
      <c r="C6" s="31" t="n">
        <f aca="false">SUMIF('Master Stack'!C:C,A6,'Master Stack'!K:K)</f>
        <v>15500</v>
      </c>
      <c r="D6" s="31" t="n">
        <f aca="false">B6+C6*3</f>
        <v>146500</v>
      </c>
    </row>
    <row r="7" customFormat="false" ht="15" hidden="false" customHeight="false" outlineLevel="0" collapsed="false">
      <c r="A7" s="28" t="s">
        <v>89</v>
      </c>
      <c r="B7" s="29" t="n">
        <f aca="false">SUMIF('Master Stack'!C:C,A7,'Master Stack'!J:J)</f>
        <v>120000</v>
      </c>
      <c r="C7" s="29" t="n">
        <f aca="false">SUMIF('Master Stack'!C:C,A7,'Master Stack'!K:K)</f>
        <v>106000</v>
      </c>
      <c r="D7" s="29" t="n">
        <f aca="false">B7+C7*3</f>
        <v>438000</v>
      </c>
    </row>
    <row r="8" customFormat="false" ht="15" hidden="false" customHeight="false" outlineLevel="0" collapsed="false">
      <c r="A8" s="30" t="s">
        <v>106</v>
      </c>
      <c r="B8" s="31" t="n">
        <f aca="false">SUMIF('Master Stack'!C:C,A8,'Master Stack'!J:J)</f>
        <v>0</v>
      </c>
      <c r="C8" s="31" t="n">
        <f aca="false">SUMIF('Master Stack'!C:C,A8,'Master Stack'!K:K)</f>
        <v>358000</v>
      </c>
      <c r="D8" s="31" t="n">
        <f aca="false">B8+C8*3</f>
        <v>1074000</v>
      </c>
    </row>
    <row r="9" customFormat="false" ht="15" hidden="false" customHeight="false" outlineLevel="0" collapsed="false">
      <c r="A9" s="28" t="s">
        <v>123</v>
      </c>
      <c r="B9" s="29" t="n">
        <f aca="false">SUMIF('Master Stack'!C:C,A9,'Master Stack'!J:J)</f>
        <v>0</v>
      </c>
      <c r="C9" s="29" t="n">
        <f aca="false">SUMIF('Master Stack'!C:C,A9,'Master Stack'!K:K)</f>
        <v>110000</v>
      </c>
      <c r="D9" s="29" t="n">
        <f aca="false">B9+C9*3</f>
        <v>330000</v>
      </c>
    </row>
    <row r="10" customFormat="false" ht="15" hidden="false" customHeight="false" outlineLevel="0" collapsed="false">
      <c r="A10" s="30" t="s">
        <v>133</v>
      </c>
      <c r="B10" s="31" t="n">
        <f aca="false">SUMIF('Master Stack'!C:C,A10,'Master Stack'!J:J)</f>
        <v>35000</v>
      </c>
      <c r="C10" s="31" t="n">
        <f aca="false">SUMIF('Master Stack'!C:C,A10,'Master Stack'!K:K)</f>
        <v>22000</v>
      </c>
      <c r="D10" s="31" t="n">
        <f aca="false">B10+C10*3</f>
        <v>101000</v>
      </c>
    </row>
    <row r="11" customFormat="false" ht="15" hidden="false" customHeight="false" outlineLevel="0" collapsed="false">
      <c r="A11" s="28" t="s">
        <v>148</v>
      </c>
      <c r="B11" s="29" t="n">
        <f aca="false">SUMIF('Master Stack'!C:C,A11,'Master Stack'!J:J)</f>
        <v>5000</v>
      </c>
      <c r="C11" s="29" t="n">
        <f aca="false">SUMIF('Master Stack'!C:C,A11,'Master Stack'!K:K)</f>
        <v>20500</v>
      </c>
      <c r="D11" s="29" t="n">
        <f aca="false">B11+C11*3</f>
        <v>66500</v>
      </c>
    </row>
    <row r="12" customFormat="false" ht="15" hidden="false" customHeight="false" outlineLevel="0" collapsed="false">
      <c r="A12" s="30" t="s">
        <v>161</v>
      </c>
      <c r="B12" s="31" t="n">
        <f aca="false">SUMIF('Master Stack'!C:C,A12,'Master Stack'!J:J)</f>
        <v>6000</v>
      </c>
      <c r="C12" s="31" t="n">
        <f aca="false">SUMIF('Master Stack'!C:C,A12,'Master Stack'!K:K)</f>
        <v>19000</v>
      </c>
      <c r="D12" s="31" t="n">
        <f aca="false">B12+C12*3</f>
        <v>63000</v>
      </c>
    </row>
    <row r="13" customFormat="false" ht="15" hidden="false" customHeight="false" outlineLevel="0" collapsed="false">
      <c r="A13" s="28" t="s">
        <v>178</v>
      </c>
      <c r="B13" s="29" t="n">
        <f aca="false">SUMIF('Master Stack'!C:C,A13,'Master Stack'!J:J)</f>
        <v>0</v>
      </c>
      <c r="C13" s="29" t="n">
        <f aca="false">SUMIF('Master Stack'!C:C,A13,'Master Stack'!K:K)</f>
        <v>9000</v>
      </c>
      <c r="D13" s="29" t="n">
        <f aca="false">B13+C13*3</f>
        <v>27000</v>
      </c>
    </row>
    <row r="14" customFormat="false" ht="15" hidden="false" customHeight="false" outlineLevel="0" collapsed="false">
      <c r="A14" s="30" t="s">
        <v>185</v>
      </c>
      <c r="B14" s="31" t="n">
        <f aca="false">SUMIF('Master Stack'!C:C,A14,'Master Stack'!J:J)</f>
        <v>10000</v>
      </c>
      <c r="C14" s="31" t="n">
        <f aca="false">SUMIF('Master Stack'!C:C,A14,'Master Stack'!K:K)</f>
        <v>0</v>
      </c>
      <c r="D14" s="31" t="n">
        <f aca="false">B14+C14*3</f>
        <v>10000</v>
      </c>
    </row>
    <row r="15" customFormat="false" ht="15" hidden="false" customHeight="false" outlineLevel="0" collapsed="false">
      <c r="A15" s="28" t="s">
        <v>201</v>
      </c>
      <c r="B15" s="29" t="n">
        <f aca="false">SUMIF('Master Stack'!C:C,A15,'Master Stack'!J:J)</f>
        <v>55000</v>
      </c>
      <c r="C15" s="29" t="n">
        <f aca="false">SUMIF('Master Stack'!C:C,A15,'Master Stack'!K:K)</f>
        <v>33000</v>
      </c>
      <c r="D15" s="29" t="n">
        <f aca="false">B15+C15*3</f>
        <v>154000</v>
      </c>
    </row>
    <row r="16" customFormat="false" ht="15" hidden="false" customHeight="false" outlineLevel="0" collapsed="false">
      <c r="A16" s="30" t="s">
        <v>211</v>
      </c>
      <c r="B16" s="31" t="n">
        <f aca="false">SUMIF('Master Stack'!C:C,A16,'Master Stack'!J:J)</f>
        <v>58000</v>
      </c>
      <c r="C16" s="31" t="n">
        <f aca="false">SUMIF('Master Stack'!C:C,A16,'Master Stack'!K:K)</f>
        <v>14500</v>
      </c>
      <c r="D16" s="31" t="n">
        <f aca="false">B16+C16*3</f>
        <v>101500</v>
      </c>
    </row>
    <row r="17" customFormat="false" ht="15" hidden="false" customHeight="false" outlineLevel="0" collapsed="false">
      <c r="A17" s="28" t="s">
        <v>224</v>
      </c>
      <c r="B17" s="29" t="n">
        <f aca="false">SUMIF('Master Stack'!C:C,A17,'Master Stack'!J:J)</f>
        <v>0</v>
      </c>
      <c r="C17" s="29" t="n">
        <f aca="false">SUMIF('Master Stack'!C:C,A17,'Master Stack'!K:K)</f>
        <v>24000</v>
      </c>
      <c r="D17" s="29" t="n">
        <f aca="false">B17+C17*3</f>
        <v>72000</v>
      </c>
    </row>
    <row r="18" customFormat="false" ht="15" hidden="false" customHeight="false" outlineLevel="0" collapsed="false">
      <c r="A18" s="30" t="s">
        <v>22</v>
      </c>
      <c r="B18" s="31" t="n">
        <f aca="false">SUMIF('Master Stack'!C:C,A18,'Master Stack'!J:J)</f>
        <v>100000</v>
      </c>
      <c r="C18" s="31" t="n">
        <f aca="false">SUMIF('Master Stack'!C:C,A18,'Master Stack'!K:K)</f>
        <v>300000</v>
      </c>
      <c r="D18" s="31" t="n">
        <f aca="false">B18+C18*3</f>
        <v>1000000</v>
      </c>
    </row>
    <row r="19" customFormat="false" ht="15" hidden="false" customHeight="false" outlineLevel="0" collapsed="false">
      <c r="A19" s="28" t="s">
        <v>253</v>
      </c>
      <c r="B19" s="29" t="n">
        <f aca="false">SUMIF('Master Stack'!C:C,A19,'Master Stack'!J:J)</f>
        <v>100000</v>
      </c>
      <c r="C19" s="29" t="n">
        <f aca="false">SUMIF('Master Stack'!C:C,A19,'Master Stack'!K:K)</f>
        <v>33000</v>
      </c>
      <c r="D19" s="29" t="n">
        <f aca="false">B19+C19*3</f>
        <v>199000</v>
      </c>
    </row>
    <row r="20" customFormat="false" ht="15" hidden="false" customHeight="false" outlineLevel="0" collapsed="false">
      <c r="A20" s="30" t="s">
        <v>263</v>
      </c>
      <c r="B20" s="31" t="n">
        <f aca="false">SUMIF('Master Stack'!C:C,A20,'Master Stack'!J:J)</f>
        <v>46000</v>
      </c>
      <c r="C20" s="31" t="n">
        <f aca="false">SUMIF('Master Stack'!C:C,A20,'Master Stack'!K:K)</f>
        <v>19500</v>
      </c>
      <c r="D20" s="31" t="n">
        <f aca="false">B20+C20*3</f>
        <v>104500</v>
      </c>
    </row>
    <row r="21" customFormat="false" ht="15" hidden="false" customHeight="false" outlineLevel="0" collapsed="false">
      <c r="A21" s="28" t="s">
        <v>279</v>
      </c>
      <c r="B21" s="29" t="n">
        <f aca="false">SUMIF('Master Stack'!C:C,A21,'Master Stack'!J:J)</f>
        <v>0</v>
      </c>
      <c r="C21" s="29" t="n">
        <f aca="false">SUMIF('Master Stack'!C:C,A21,'Master Stack'!K:K)</f>
        <v>12000</v>
      </c>
      <c r="D21" s="29" t="n">
        <f aca="false">B21+C21*3</f>
        <v>36000</v>
      </c>
    </row>
    <row r="22" customFormat="false" ht="15" hidden="false" customHeight="false" outlineLevel="0" collapsed="false">
      <c r="A22" s="30" t="s">
        <v>286</v>
      </c>
      <c r="B22" s="31" t="n">
        <f aca="false">SUMIF('Master Stack'!C:C,A22,'Master Stack'!J:J)</f>
        <v>0</v>
      </c>
      <c r="C22" s="31" t="n">
        <f aca="false">SUMIF('Master Stack'!C:C,A22,'Master Stack'!K:K)</f>
        <v>4500</v>
      </c>
      <c r="D22" s="31" t="n">
        <f aca="false">B22+C22*3</f>
        <v>13500</v>
      </c>
    </row>
    <row r="23" customFormat="false" ht="15" hidden="false" customHeight="false" outlineLevel="0" collapsed="false">
      <c r="A23" s="28" t="s">
        <v>296</v>
      </c>
      <c r="B23" s="29" t="n">
        <f aca="false">SUMIF('Master Stack'!C:C,A23,'Master Stack'!J:J)</f>
        <v>0</v>
      </c>
      <c r="C23" s="29" t="n">
        <f aca="false">SUMIF('Master Stack'!C:C,A23,'Master Stack'!K:K)</f>
        <v>8500</v>
      </c>
      <c r="D23" s="29" t="n">
        <f aca="false">B23+C23*3</f>
        <v>25500</v>
      </c>
    </row>
    <row r="24" customFormat="false" ht="15" hidden="false" customHeight="false" outlineLevel="0" collapsed="false">
      <c r="A24" s="30" t="s">
        <v>306</v>
      </c>
      <c r="B24" s="31" t="n">
        <f aca="false">SUMIF('Master Stack'!C:C,A24,'Master Stack'!J:J)</f>
        <v>5000</v>
      </c>
      <c r="C24" s="31" t="n">
        <f aca="false">SUMIF('Master Stack'!C:C,A24,'Master Stack'!K:K)</f>
        <v>11000</v>
      </c>
      <c r="D24" s="31" t="n">
        <f aca="false">B24+C24*3</f>
        <v>38000</v>
      </c>
    </row>
    <row r="25" customFormat="false" ht="15" hidden="false" customHeight="false" outlineLevel="0" collapsed="false">
      <c r="A25" s="32" t="s">
        <v>543</v>
      </c>
      <c r="B25" s="33" t="n">
        <f aca="false">SUM(B5:B24)</f>
        <v>835000</v>
      </c>
      <c r="C25" s="33" t="n">
        <f aca="false">SUM(C5:C24)</f>
        <v>1120000</v>
      </c>
      <c r="D25" s="33" t="n">
        <f aca="false">SUM(D5:D24)</f>
        <v>4195000</v>
      </c>
    </row>
    <row r="27" customFormat="false" ht="15" hidden="false" customHeight="true" outlineLevel="0" collapsed="false">
      <c r="A27" s="34" t="s">
        <v>544</v>
      </c>
      <c r="B27" s="34"/>
      <c r="C27" s="34"/>
      <c r="D27" s="34"/>
    </row>
    <row r="28" customFormat="false" ht="15" hidden="false" customHeight="false" outlineLevel="0" collapsed="false">
      <c r="A28" s="34"/>
      <c r="B28" s="34"/>
      <c r="C28" s="34"/>
      <c r="D28" s="34"/>
    </row>
  </sheetData>
  <mergeCells count="3">
    <mergeCell ref="A1:D1"/>
    <mergeCell ref="A2:D2"/>
    <mergeCell ref="A27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2026-07-05T13:28:09Z</dcterms:created>
  <dc:creator>openpyxl</dc:creator>
  <dc:description/>
  <dc:language>en-US</dc:language>
  <cp:lastModifiedBy/>
  <dcterms:modified xsi:type="dcterms:W3CDTF">2026-07-05T13:29:55Z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